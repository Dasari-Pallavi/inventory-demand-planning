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Classification" sheetId="3" state="visible" r:id="rId3"/>
    <sheet name="Forecast" sheetId="4" state="visible" r:id="rId4"/>
    <sheet name="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by stock-out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by velocity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&amp; Demand Planning Dashboard</t>
        </is>
      </c>
    </row>
    <row r="3">
      <c r="A3" s="2" t="inlineStr">
        <is>
          <t>Stock-out risk</t>
        </is>
      </c>
      <c r="B3" s="2" t="inlineStr">
        <is>
          <t>SKUs</t>
        </is>
      </c>
    </row>
    <row r="4">
      <c r="A4" t="inlineStr">
        <is>
          <t>High</t>
        </is>
      </c>
      <c r="B4">
        <f>COUNTIF(Risk!$H:$H,A4)</f>
        <v/>
      </c>
    </row>
    <row r="5">
      <c r="A5" t="inlineStr">
        <is>
          <t>Medium</t>
        </is>
      </c>
      <c r="B5">
        <f>COUNTIF(Risk!$H:$H,A5)</f>
        <v/>
      </c>
    </row>
    <row r="6">
      <c r="A6" t="inlineStr">
        <is>
          <t>Low</t>
        </is>
      </c>
      <c r="B6">
        <f>COUNTIF(Risk!$H:$H,A6)</f>
        <v/>
      </c>
    </row>
    <row r="8">
      <c r="A8" s="2" t="inlineStr">
        <is>
          <t>Velocity</t>
        </is>
      </c>
      <c r="B8" s="2" t="inlineStr">
        <is>
          <t>SKUs</t>
        </is>
      </c>
    </row>
    <row r="9">
      <c r="A9" t="inlineStr">
        <is>
          <t>Fast</t>
        </is>
      </c>
      <c r="B9">
        <f>COUNTIF(Classification!$L:$L,A9)</f>
        <v/>
      </c>
    </row>
    <row r="10">
      <c r="A10" t="inlineStr">
        <is>
          <t>Medium</t>
        </is>
      </c>
      <c r="B10">
        <f>COUNTIF(Classification!$L:$L,A10)</f>
        <v/>
      </c>
    </row>
    <row r="11">
      <c r="A11" t="inlineStr">
        <is>
          <t>Slow</t>
        </is>
      </c>
      <c r="B11">
        <f>COUNTIF(Classification!$L:$L,A11)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Meaning</t>
        </is>
      </c>
    </row>
    <row r="2">
      <c r="A2" t="inlineStr">
        <is>
          <t>Lead time (days)</t>
        </is>
      </c>
      <c r="B2" t="n">
        <v>3</v>
      </c>
      <c r="C2" t="inlineStr">
        <is>
          <t>Days from placing an order to receiving stock</t>
        </is>
      </c>
    </row>
    <row r="3">
      <c r="A3" t="inlineStr">
        <is>
          <t>Service level z</t>
        </is>
      </c>
      <c r="B3" t="n">
        <v>1.65</v>
      </c>
      <c r="C3" t="inlineStr">
        <is>
          <t>1.65 = 95% chance of not running out</t>
        </is>
      </c>
    </row>
    <row r="4">
      <c r="A4" t="inlineStr">
        <is>
          <t>Review buffer (days)</t>
        </is>
      </c>
      <c r="B4" t="n">
        <v>7</v>
      </c>
      <c r="C4" t="inlineStr">
        <is>
          <t>Extra days of demand to order for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store_id</t>
        </is>
      </c>
      <c r="C1" s="3" t="inlineStr">
        <is>
          <t>product_id</t>
        </is>
      </c>
      <c r="D1" s="3" t="inlineStr">
        <is>
          <t>category</t>
        </is>
      </c>
      <c r="E1" s="3" t="inlineStr">
        <is>
          <t>total_units</t>
        </is>
      </c>
      <c r="F1" s="3" t="inlineStr">
        <is>
          <t>avg_daily_units</t>
        </is>
      </c>
      <c r="G1" s="3" t="inlineStr">
        <is>
          <t>avg_inventory</t>
        </is>
      </c>
      <c r="H1" s="3" t="inlineStr">
        <is>
          <t>avg_price</t>
        </is>
      </c>
      <c r="I1" s="3" t="inlineStr">
        <is>
          <t>revenue</t>
        </is>
      </c>
      <c r="J1" s="3" t="inlineStr">
        <is>
          <t>turnover</t>
        </is>
      </c>
      <c r="K1" s="3" t="inlineStr">
        <is>
          <t>days_of_cover</t>
        </is>
      </c>
      <c r="L1" s="3" t="inlineStr">
        <is>
          <t>velocity</t>
        </is>
      </c>
      <c r="M1" s="3" t="inlineStr">
        <is>
          <t>abc</t>
        </is>
      </c>
    </row>
    <row r="2">
      <c r="A2" t="inlineStr">
        <is>
          <t>S002-P0020</t>
        </is>
      </c>
      <c r="B2" t="inlineStr">
        <is>
          <t>S002</t>
        </is>
      </c>
      <c r="C2" t="inlineStr">
        <is>
          <t>P0020</t>
        </is>
      </c>
      <c r="D2" t="inlineStr">
        <is>
          <t>Toys</t>
        </is>
      </c>
      <c r="E2" t="n">
        <v>105343</v>
      </c>
      <c r="F2" t="n">
        <v>144.11</v>
      </c>
      <c r="G2" t="n">
        <v>276.31</v>
      </c>
      <c r="H2" t="n">
        <v>56.87</v>
      </c>
      <c r="I2" t="n">
        <v>6170479.71</v>
      </c>
      <c r="J2" t="n">
        <v>381.25</v>
      </c>
      <c r="K2" t="n">
        <v>1.92</v>
      </c>
      <c r="L2" t="inlineStr">
        <is>
          <t>Fast</t>
        </is>
      </c>
      <c r="M2" t="inlineStr">
        <is>
          <t>A</t>
        </is>
      </c>
    </row>
    <row r="3">
      <c r="A3" t="inlineStr">
        <is>
          <t>S003-P0013</t>
        </is>
      </c>
      <c r="B3" t="inlineStr">
        <is>
          <t>S003</t>
        </is>
      </c>
      <c r="C3" t="inlineStr">
        <is>
          <t>P0013</t>
        </is>
      </c>
      <c r="D3" t="inlineStr">
        <is>
          <t>Furniture</t>
        </is>
      </c>
      <c r="E3" t="n">
        <v>107479</v>
      </c>
      <c r="F3" t="n">
        <v>147.03</v>
      </c>
      <c r="G3" t="n">
        <v>285.26</v>
      </c>
      <c r="H3" t="n">
        <v>55.96</v>
      </c>
      <c r="I3" t="n">
        <v>6087261.54</v>
      </c>
      <c r="J3" t="n">
        <v>376.77</v>
      </c>
      <c r="K3" t="n">
        <v>1.94</v>
      </c>
      <c r="L3" t="inlineStr">
        <is>
          <t>Fast</t>
        </is>
      </c>
      <c r="M3" t="inlineStr">
        <is>
          <t>A</t>
        </is>
      </c>
    </row>
    <row r="4">
      <c r="A4" t="inlineStr">
        <is>
          <t>S005-P0015</t>
        </is>
      </c>
      <c r="B4" t="inlineStr">
        <is>
          <t>S005</t>
        </is>
      </c>
      <c r="C4" t="inlineStr">
        <is>
          <t>P0015</t>
        </is>
      </c>
      <c r="D4" t="inlineStr">
        <is>
          <t>Furniture</t>
        </is>
      </c>
      <c r="E4" t="n">
        <v>109099</v>
      </c>
      <c r="F4" t="n">
        <v>149.25</v>
      </c>
      <c r="G4" t="n">
        <v>277.91</v>
      </c>
      <c r="H4" t="n">
        <v>56.11</v>
      </c>
      <c r="I4" t="n">
        <v>6079062.69</v>
      </c>
      <c r="J4" t="n">
        <v>392.57</v>
      </c>
      <c r="K4" t="n">
        <v>1.86</v>
      </c>
      <c r="L4" t="inlineStr">
        <is>
          <t>Fast</t>
        </is>
      </c>
      <c r="M4" t="inlineStr">
        <is>
          <t>A</t>
        </is>
      </c>
    </row>
    <row r="5">
      <c r="A5" t="inlineStr">
        <is>
          <t>S002-P0009</t>
        </is>
      </c>
      <c r="B5" t="inlineStr">
        <is>
          <t>S002</t>
        </is>
      </c>
      <c r="C5" t="inlineStr">
        <is>
          <t>P0009</t>
        </is>
      </c>
      <c r="D5" t="inlineStr">
        <is>
          <t>Clothing</t>
        </is>
      </c>
      <c r="E5" t="n">
        <v>105376</v>
      </c>
      <c r="F5" t="n">
        <v>144.15</v>
      </c>
      <c r="G5" t="n">
        <v>282.95</v>
      </c>
      <c r="H5" t="n">
        <v>55.48</v>
      </c>
      <c r="I5" t="n">
        <v>5923919.22</v>
      </c>
      <c r="J5" t="n">
        <v>372.42</v>
      </c>
      <c r="K5" t="n">
        <v>1.96</v>
      </c>
      <c r="L5" t="inlineStr">
        <is>
          <t>Fast</t>
        </is>
      </c>
      <c r="M5" t="inlineStr">
        <is>
          <t>A</t>
        </is>
      </c>
    </row>
    <row r="6">
      <c r="A6" t="inlineStr">
        <is>
          <t>S005-P0003</t>
        </is>
      </c>
      <c r="B6" t="inlineStr">
        <is>
          <t>S005</t>
        </is>
      </c>
      <c r="C6" t="inlineStr">
        <is>
          <t>P0003</t>
        </is>
      </c>
      <c r="D6" t="inlineStr">
        <is>
          <t>Electronics</t>
        </is>
      </c>
      <c r="E6" t="n">
        <v>105667</v>
      </c>
      <c r="F6" t="n">
        <v>144.55</v>
      </c>
      <c r="G6" t="n">
        <v>283.99</v>
      </c>
      <c r="H6" t="n">
        <v>54.75</v>
      </c>
      <c r="I6" t="n">
        <v>5880145.95</v>
      </c>
      <c r="J6" t="n">
        <v>372.07</v>
      </c>
      <c r="K6" t="n">
        <v>1.96</v>
      </c>
      <c r="L6" t="inlineStr">
        <is>
          <t>Fast</t>
        </is>
      </c>
      <c r="M6" t="inlineStr">
        <is>
          <t>A</t>
        </is>
      </c>
    </row>
    <row r="7">
      <c r="A7" t="inlineStr">
        <is>
          <t>S003-P0007</t>
        </is>
      </c>
      <c r="B7" t="inlineStr">
        <is>
          <t>S003</t>
        </is>
      </c>
      <c r="C7" t="inlineStr">
        <is>
          <t>P0007</t>
        </is>
      </c>
      <c r="D7" t="inlineStr">
        <is>
          <t>Electronics</t>
        </is>
      </c>
      <c r="E7" t="n">
        <v>101464</v>
      </c>
      <c r="F7" t="n">
        <v>138.8</v>
      </c>
      <c r="G7" t="n">
        <v>279.98</v>
      </c>
      <c r="H7" t="n">
        <v>56.67</v>
      </c>
      <c r="I7" t="n">
        <v>5866004.78</v>
      </c>
      <c r="J7" t="n">
        <v>362.4</v>
      </c>
      <c r="K7" t="n">
        <v>2.02</v>
      </c>
      <c r="L7" t="inlineStr">
        <is>
          <t>Medium</t>
        </is>
      </c>
      <c r="M7" t="inlineStr">
        <is>
          <t>A</t>
        </is>
      </c>
    </row>
    <row r="8">
      <c r="A8" t="inlineStr">
        <is>
          <t>S003-P0014</t>
        </is>
      </c>
      <c r="B8" t="inlineStr">
        <is>
          <t>S003</t>
        </is>
      </c>
      <c r="C8" t="inlineStr">
        <is>
          <t>P0014</t>
        </is>
      </c>
      <c r="D8" t="inlineStr">
        <is>
          <t>Electronics</t>
        </is>
      </c>
      <c r="E8" t="n">
        <v>105188</v>
      </c>
      <c r="F8" t="n">
        <v>143.9</v>
      </c>
      <c r="G8" t="n">
        <v>290.87</v>
      </c>
      <c r="H8" t="n">
        <v>55.81</v>
      </c>
      <c r="I8" t="n">
        <v>5859781.87</v>
      </c>
      <c r="J8" t="n">
        <v>361.64</v>
      </c>
      <c r="K8" t="n">
        <v>2.02</v>
      </c>
      <c r="L8" t="inlineStr">
        <is>
          <t>Fast</t>
        </is>
      </c>
      <c r="M8" t="inlineStr">
        <is>
          <t>A</t>
        </is>
      </c>
    </row>
    <row r="9">
      <c r="A9" t="inlineStr">
        <is>
          <t>S003-P0006</t>
        </is>
      </c>
      <c r="B9" t="inlineStr">
        <is>
          <t>S003</t>
        </is>
      </c>
      <c r="C9" t="inlineStr">
        <is>
          <t>P0006</t>
        </is>
      </c>
      <c r="D9" t="inlineStr">
        <is>
          <t>Groceries</t>
        </is>
      </c>
      <c r="E9" t="n">
        <v>102173</v>
      </c>
      <c r="F9" t="n">
        <v>139.77</v>
      </c>
      <c r="G9" t="n">
        <v>277.82</v>
      </c>
      <c r="H9" t="n">
        <v>56.28</v>
      </c>
      <c r="I9" t="n">
        <v>5859667.08</v>
      </c>
      <c r="J9" t="n">
        <v>367.77</v>
      </c>
      <c r="K9" t="n">
        <v>1.99</v>
      </c>
      <c r="L9" t="inlineStr">
        <is>
          <t>Fast</t>
        </is>
      </c>
      <c r="M9" t="inlineStr">
        <is>
          <t>A</t>
        </is>
      </c>
    </row>
    <row r="10">
      <c r="A10" t="inlineStr">
        <is>
          <t>S004-P0016</t>
        </is>
      </c>
      <c r="B10" t="inlineStr">
        <is>
          <t>S004</t>
        </is>
      </c>
      <c r="C10" t="inlineStr">
        <is>
          <t>P0016</t>
        </is>
      </c>
      <c r="D10" t="inlineStr">
        <is>
          <t>Groceries</t>
        </is>
      </c>
      <c r="E10" t="n">
        <v>104777</v>
      </c>
      <c r="F10" t="n">
        <v>143.33</v>
      </c>
      <c r="G10" t="n">
        <v>280.27</v>
      </c>
      <c r="H10" t="n">
        <v>55.05</v>
      </c>
      <c r="I10" t="n">
        <v>5791070.22</v>
      </c>
      <c r="J10" t="n">
        <v>373.84</v>
      </c>
      <c r="K10" t="n">
        <v>1.96</v>
      </c>
      <c r="L10" t="inlineStr">
        <is>
          <t>Fast</t>
        </is>
      </c>
      <c r="M10" t="inlineStr">
        <is>
          <t>A</t>
        </is>
      </c>
    </row>
    <row r="11">
      <c r="A11" t="inlineStr">
        <is>
          <t>S002-P0001</t>
        </is>
      </c>
      <c r="B11" t="inlineStr">
        <is>
          <t>S002</t>
        </is>
      </c>
      <c r="C11" t="inlineStr">
        <is>
          <t>P0001</t>
        </is>
      </c>
      <c r="D11" t="inlineStr">
        <is>
          <t>Groceries</t>
        </is>
      </c>
      <c r="E11" t="n">
        <v>105999</v>
      </c>
      <c r="F11" t="n">
        <v>145.01</v>
      </c>
      <c r="G11" t="n">
        <v>278.34</v>
      </c>
      <c r="H11" t="n">
        <v>53.7</v>
      </c>
      <c r="I11" t="n">
        <v>5782272.42</v>
      </c>
      <c r="J11" t="n">
        <v>380.82</v>
      </c>
      <c r="K11" t="n">
        <v>1.92</v>
      </c>
      <c r="L11" t="inlineStr">
        <is>
          <t>Fast</t>
        </is>
      </c>
      <c r="M11" t="inlineStr">
        <is>
          <t>A</t>
        </is>
      </c>
    </row>
    <row r="12">
      <c r="A12" t="inlineStr">
        <is>
          <t>S002-P0011</t>
        </is>
      </c>
      <c r="B12" t="inlineStr">
        <is>
          <t>S002</t>
        </is>
      </c>
      <c r="C12" t="inlineStr">
        <is>
          <t>P0011</t>
        </is>
      </c>
      <c r="D12" t="inlineStr">
        <is>
          <t>Groceries</t>
        </is>
      </c>
      <c r="E12" t="n">
        <v>99145</v>
      </c>
      <c r="F12" t="n">
        <v>135.63</v>
      </c>
      <c r="G12" t="n">
        <v>269.35</v>
      </c>
      <c r="H12" t="n">
        <v>57.95</v>
      </c>
      <c r="I12" t="n">
        <v>5764887.9</v>
      </c>
      <c r="J12" t="n">
        <v>368.09</v>
      </c>
      <c r="K12" t="n">
        <v>1.99</v>
      </c>
      <c r="L12" t="inlineStr">
        <is>
          <t>Medium</t>
        </is>
      </c>
      <c r="M12" t="inlineStr">
        <is>
          <t>A</t>
        </is>
      </c>
    </row>
    <row r="13">
      <c r="A13" t="inlineStr">
        <is>
          <t>S004-P0011</t>
        </is>
      </c>
      <c r="B13" t="inlineStr">
        <is>
          <t>S004</t>
        </is>
      </c>
      <c r="C13" t="inlineStr">
        <is>
          <t>P0011</t>
        </is>
      </c>
      <c r="D13" t="inlineStr">
        <is>
          <t>Electronics</t>
        </is>
      </c>
      <c r="E13" t="n">
        <v>102149</v>
      </c>
      <c r="F13" t="n">
        <v>139.74</v>
      </c>
      <c r="G13" t="n">
        <v>271.73</v>
      </c>
      <c r="H13" t="n">
        <v>56.36</v>
      </c>
      <c r="I13" t="n">
        <v>5756469.21</v>
      </c>
      <c r="J13" t="n">
        <v>375.93</v>
      </c>
      <c r="K13" t="n">
        <v>1.94</v>
      </c>
      <c r="L13" t="inlineStr">
        <is>
          <t>Fast</t>
        </is>
      </c>
      <c r="M13" t="inlineStr">
        <is>
          <t>A</t>
        </is>
      </c>
    </row>
    <row r="14">
      <c r="A14" t="inlineStr">
        <is>
          <t>S002-P0016</t>
        </is>
      </c>
      <c r="B14" t="inlineStr">
        <is>
          <t>S002</t>
        </is>
      </c>
      <c r="C14" t="inlineStr">
        <is>
          <t>P0016</t>
        </is>
      </c>
      <c r="D14" t="inlineStr">
        <is>
          <t>Toys</t>
        </is>
      </c>
      <c r="E14" t="n">
        <v>101059</v>
      </c>
      <c r="F14" t="n">
        <v>138.25</v>
      </c>
      <c r="G14" t="n">
        <v>285.47</v>
      </c>
      <c r="H14" t="n">
        <v>55.53</v>
      </c>
      <c r="I14" t="n">
        <v>5750178.88</v>
      </c>
      <c r="J14" t="n">
        <v>354.01</v>
      </c>
      <c r="K14" t="n">
        <v>2.06</v>
      </c>
      <c r="L14" t="inlineStr">
        <is>
          <t>Medium</t>
        </is>
      </c>
      <c r="M14" t="inlineStr">
        <is>
          <t>A</t>
        </is>
      </c>
    </row>
    <row r="15">
      <c r="A15" t="inlineStr">
        <is>
          <t>S001-P0018</t>
        </is>
      </c>
      <c r="B15" t="inlineStr">
        <is>
          <t>S001</t>
        </is>
      </c>
      <c r="C15" t="inlineStr">
        <is>
          <t>P0018</t>
        </is>
      </c>
      <c r="D15" t="inlineStr">
        <is>
          <t>Clothing</t>
        </is>
      </c>
      <c r="E15" t="n">
        <v>101475</v>
      </c>
      <c r="F15" t="n">
        <v>138.82</v>
      </c>
      <c r="G15" t="n">
        <v>282.55</v>
      </c>
      <c r="H15" t="n">
        <v>55.29</v>
      </c>
      <c r="I15" t="n">
        <v>5733514.74</v>
      </c>
      <c r="J15" t="n">
        <v>359.14</v>
      </c>
      <c r="K15" t="n">
        <v>2.04</v>
      </c>
      <c r="L15" t="inlineStr">
        <is>
          <t>Medium</t>
        </is>
      </c>
      <c r="M15" t="inlineStr">
        <is>
          <t>A</t>
        </is>
      </c>
    </row>
    <row r="16">
      <c r="A16" t="inlineStr">
        <is>
          <t>S003-P0005</t>
        </is>
      </c>
      <c r="B16" t="inlineStr">
        <is>
          <t>S003</t>
        </is>
      </c>
      <c r="C16" t="inlineStr">
        <is>
          <t>P0005</t>
        </is>
      </c>
      <c r="D16" t="inlineStr">
        <is>
          <t>Clothing</t>
        </is>
      </c>
      <c r="E16" t="n">
        <v>105408</v>
      </c>
      <c r="F16" t="n">
        <v>144.2</v>
      </c>
      <c r="G16" t="n">
        <v>277.57</v>
      </c>
      <c r="H16" t="n">
        <v>54.43</v>
      </c>
      <c r="I16" t="n">
        <v>5727355.76</v>
      </c>
      <c r="J16" t="n">
        <v>379.76</v>
      </c>
      <c r="K16" t="n">
        <v>1.92</v>
      </c>
      <c r="L16" t="inlineStr">
        <is>
          <t>Fast</t>
        </is>
      </c>
      <c r="M16" t="inlineStr">
        <is>
          <t>A</t>
        </is>
      </c>
    </row>
    <row r="17">
      <c r="A17" t="inlineStr">
        <is>
          <t>S005-P0011</t>
        </is>
      </c>
      <c r="B17" t="inlineStr">
        <is>
          <t>S005</t>
        </is>
      </c>
      <c r="C17" t="inlineStr">
        <is>
          <t>P0011</t>
        </is>
      </c>
      <c r="D17" t="inlineStr">
        <is>
          <t>Groceries</t>
        </is>
      </c>
      <c r="E17" t="n">
        <v>99824</v>
      </c>
      <c r="F17" t="n">
        <v>136.56</v>
      </c>
      <c r="G17" t="n">
        <v>279.14</v>
      </c>
      <c r="H17" t="n">
        <v>57.02</v>
      </c>
      <c r="I17" t="n">
        <v>5714387.04</v>
      </c>
      <c r="J17" t="n">
        <v>357.62</v>
      </c>
      <c r="K17" t="n">
        <v>2.04</v>
      </c>
      <c r="L17" t="inlineStr">
        <is>
          <t>Medium</t>
        </is>
      </c>
      <c r="M17" t="inlineStr">
        <is>
          <t>A</t>
        </is>
      </c>
    </row>
    <row r="18">
      <c r="A18" t="inlineStr">
        <is>
          <t>S003-P0011</t>
        </is>
      </c>
      <c r="B18" t="inlineStr">
        <is>
          <t>S003</t>
        </is>
      </c>
      <c r="C18" t="inlineStr">
        <is>
          <t>P0011</t>
        </is>
      </c>
      <c r="D18" t="inlineStr">
        <is>
          <t>Toys</t>
        </is>
      </c>
      <c r="E18" t="n">
        <v>101392</v>
      </c>
      <c r="F18" t="n">
        <v>138.7</v>
      </c>
      <c r="G18" t="n">
        <v>274.63</v>
      </c>
      <c r="H18" t="n">
        <v>56.46</v>
      </c>
      <c r="I18" t="n">
        <v>5710513.66</v>
      </c>
      <c r="J18" t="n">
        <v>369.19</v>
      </c>
      <c r="K18" t="n">
        <v>1.98</v>
      </c>
      <c r="L18" t="inlineStr">
        <is>
          <t>Medium</t>
        </is>
      </c>
      <c r="M18" t="inlineStr">
        <is>
          <t>A</t>
        </is>
      </c>
    </row>
    <row r="19">
      <c r="A19" t="inlineStr">
        <is>
          <t>S005-P0013</t>
        </is>
      </c>
      <c r="B19" t="inlineStr">
        <is>
          <t>S005</t>
        </is>
      </c>
      <c r="C19" t="inlineStr">
        <is>
          <t>P0013</t>
        </is>
      </c>
      <c r="D19" t="inlineStr">
        <is>
          <t>Furniture</t>
        </is>
      </c>
      <c r="E19" t="n">
        <v>101844</v>
      </c>
      <c r="F19" t="n">
        <v>139.32</v>
      </c>
      <c r="G19" t="n">
        <v>283.81</v>
      </c>
      <c r="H19" t="n">
        <v>55.07</v>
      </c>
      <c r="I19" t="n">
        <v>5709841.99</v>
      </c>
      <c r="J19" t="n">
        <v>358.85</v>
      </c>
      <c r="K19" t="n">
        <v>2.04</v>
      </c>
      <c r="L19" t="inlineStr">
        <is>
          <t>Fast</t>
        </is>
      </c>
      <c r="M19" t="inlineStr">
        <is>
          <t>A</t>
        </is>
      </c>
    </row>
    <row r="20">
      <c r="A20" t="inlineStr">
        <is>
          <t>S005-P0014</t>
        </is>
      </c>
      <c r="B20" t="inlineStr">
        <is>
          <t>S005</t>
        </is>
      </c>
      <c r="C20" t="inlineStr">
        <is>
          <t>P0014</t>
        </is>
      </c>
      <c r="D20" t="inlineStr">
        <is>
          <t>Electronics</t>
        </is>
      </c>
      <c r="E20" t="n">
        <v>100409</v>
      </c>
      <c r="F20" t="n">
        <v>137.36</v>
      </c>
      <c r="G20" t="n">
        <v>273.18</v>
      </c>
      <c r="H20" t="n">
        <v>56.3</v>
      </c>
      <c r="I20" t="n">
        <v>5697388.99</v>
      </c>
      <c r="J20" t="n">
        <v>367.55</v>
      </c>
      <c r="K20" t="n">
        <v>1.99</v>
      </c>
      <c r="L20" t="inlineStr">
        <is>
          <t>Medium</t>
        </is>
      </c>
      <c r="M20" t="inlineStr">
        <is>
          <t>A</t>
        </is>
      </c>
    </row>
    <row r="21">
      <c r="A21" t="inlineStr">
        <is>
          <t>S001-P0004</t>
        </is>
      </c>
      <c r="B21" t="inlineStr">
        <is>
          <t>S001</t>
        </is>
      </c>
      <c r="C21" t="inlineStr">
        <is>
          <t>P0004</t>
        </is>
      </c>
      <c r="D21" t="inlineStr">
        <is>
          <t>Toys</t>
        </is>
      </c>
      <c r="E21" t="n">
        <v>103001</v>
      </c>
      <c r="F21" t="n">
        <v>140.9</v>
      </c>
      <c r="G21" t="n">
        <v>275.91</v>
      </c>
      <c r="H21" t="n">
        <v>55.61</v>
      </c>
      <c r="I21" t="n">
        <v>5690954.47</v>
      </c>
      <c r="J21" t="n">
        <v>373.32</v>
      </c>
      <c r="K21" t="n">
        <v>1.96</v>
      </c>
      <c r="L21" t="inlineStr">
        <is>
          <t>Fast</t>
        </is>
      </c>
      <c r="M21" t="inlineStr">
        <is>
          <t>A</t>
        </is>
      </c>
    </row>
    <row r="22">
      <c r="A22" t="inlineStr">
        <is>
          <t>S004-P0005</t>
        </is>
      </c>
      <c r="B22" t="inlineStr">
        <is>
          <t>S004</t>
        </is>
      </c>
      <c r="C22" t="inlineStr">
        <is>
          <t>P0005</t>
        </is>
      </c>
      <c r="D22" t="inlineStr">
        <is>
          <t>Groceries</t>
        </is>
      </c>
      <c r="E22" t="n">
        <v>100309</v>
      </c>
      <c r="F22" t="n">
        <v>137.22</v>
      </c>
      <c r="G22" t="n">
        <v>270.45</v>
      </c>
      <c r="H22" t="n">
        <v>56.52</v>
      </c>
      <c r="I22" t="n">
        <v>5674980.5</v>
      </c>
      <c r="J22" t="n">
        <v>370.9</v>
      </c>
      <c r="K22" t="n">
        <v>1.97</v>
      </c>
      <c r="L22" t="inlineStr">
        <is>
          <t>Medium</t>
        </is>
      </c>
      <c r="M22" t="inlineStr">
        <is>
          <t>A</t>
        </is>
      </c>
    </row>
    <row r="23">
      <c r="A23" t="inlineStr">
        <is>
          <t>S005-P0005</t>
        </is>
      </c>
      <c r="B23" t="inlineStr">
        <is>
          <t>S005</t>
        </is>
      </c>
      <c r="C23" t="inlineStr">
        <is>
          <t>P0005</t>
        </is>
      </c>
      <c r="D23" t="inlineStr">
        <is>
          <t>Clothing</t>
        </is>
      </c>
      <c r="E23" t="n">
        <v>103703</v>
      </c>
      <c r="F23" t="n">
        <v>141.86</v>
      </c>
      <c r="G23" t="n">
        <v>276.78</v>
      </c>
      <c r="H23" t="n">
        <v>53.97</v>
      </c>
      <c r="I23" t="n">
        <v>5670306.05</v>
      </c>
      <c r="J23" t="n">
        <v>374.68</v>
      </c>
      <c r="K23" t="n">
        <v>1.95</v>
      </c>
      <c r="L23" t="inlineStr">
        <is>
          <t>Fast</t>
        </is>
      </c>
      <c r="M23" t="inlineStr">
        <is>
          <t>A</t>
        </is>
      </c>
    </row>
    <row r="24">
      <c r="A24" t="inlineStr">
        <is>
          <t>S005-P0020</t>
        </is>
      </c>
      <c r="B24" t="inlineStr">
        <is>
          <t>S005</t>
        </is>
      </c>
      <c r="C24" t="inlineStr">
        <is>
          <t>P0020</t>
        </is>
      </c>
      <c r="D24" t="inlineStr">
        <is>
          <t>Electronics</t>
        </is>
      </c>
      <c r="E24" t="n">
        <v>101370</v>
      </c>
      <c r="F24" t="n">
        <v>138.67</v>
      </c>
      <c r="G24" t="n">
        <v>283.9</v>
      </c>
      <c r="H24" t="n">
        <v>55.28</v>
      </c>
      <c r="I24" t="n">
        <v>5640823.03</v>
      </c>
      <c r="J24" t="n">
        <v>357.06</v>
      </c>
      <c r="K24" t="n">
        <v>2.05</v>
      </c>
      <c r="L24" t="inlineStr">
        <is>
          <t>Medium</t>
        </is>
      </c>
      <c r="M24" t="inlineStr">
        <is>
          <t>A</t>
        </is>
      </c>
    </row>
    <row r="25">
      <c r="A25" t="inlineStr">
        <is>
          <t>S004-P0014</t>
        </is>
      </c>
      <c r="B25" t="inlineStr">
        <is>
          <t>S004</t>
        </is>
      </c>
      <c r="C25" t="inlineStr">
        <is>
          <t>P0014</t>
        </is>
      </c>
      <c r="D25" t="inlineStr">
        <is>
          <t>Electronics</t>
        </is>
      </c>
      <c r="E25" t="n">
        <v>103904</v>
      </c>
      <c r="F25" t="n">
        <v>142.14</v>
      </c>
      <c r="G25" t="n">
        <v>282.35</v>
      </c>
      <c r="H25" t="n">
        <v>55.51</v>
      </c>
      <c r="I25" t="n">
        <v>5637991.92</v>
      </c>
      <c r="J25" t="n">
        <v>368</v>
      </c>
      <c r="K25" t="n">
        <v>1.99</v>
      </c>
      <c r="L25" t="inlineStr">
        <is>
          <t>Fast</t>
        </is>
      </c>
      <c r="M25" t="inlineStr">
        <is>
          <t>A</t>
        </is>
      </c>
    </row>
    <row r="26">
      <c r="A26" t="inlineStr">
        <is>
          <t>S005-P0010</t>
        </is>
      </c>
      <c r="B26" t="inlineStr">
        <is>
          <t>S005</t>
        </is>
      </c>
      <c r="C26" t="inlineStr">
        <is>
          <t>P0010</t>
        </is>
      </c>
      <c r="D26" t="inlineStr">
        <is>
          <t>Clothing</t>
        </is>
      </c>
      <c r="E26" t="n">
        <v>100551</v>
      </c>
      <c r="F26" t="n">
        <v>137.55</v>
      </c>
      <c r="G26" t="n">
        <v>281.5</v>
      </c>
      <c r="H26" t="n">
        <v>55.52</v>
      </c>
      <c r="I26" t="n">
        <v>5632538.8</v>
      </c>
      <c r="J26" t="n">
        <v>357.2</v>
      </c>
      <c r="K26" t="n">
        <v>2.05</v>
      </c>
      <c r="L26" t="inlineStr">
        <is>
          <t>Medium</t>
        </is>
      </c>
      <c r="M26" t="inlineStr">
        <is>
          <t>A</t>
        </is>
      </c>
    </row>
    <row r="27">
      <c r="A27" t="inlineStr">
        <is>
          <t>S003-P0016</t>
        </is>
      </c>
      <c r="B27" t="inlineStr">
        <is>
          <t>S003</t>
        </is>
      </c>
      <c r="C27" t="inlineStr">
        <is>
          <t>P0016</t>
        </is>
      </c>
      <c r="D27" t="inlineStr">
        <is>
          <t>Groceries</t>
        </is>
      </c>
      <c r="E27" t="n">
        <v>103641</v>
      </c>
      <c r="F27" t="n">
        <v>141.78</v>
      </c>
      <c r="G27" t="n">
        <v>277.99</v>
      </c>
      <c r="H27" t="n">
        <v>53.48</v>
      </c>
      <c r="I27" t="n">
        <v>5625287.23</v>
      </c>
      <c r="J27" t="n">
        <v>372.83</v>
      </c>
      <c r="K27" t="n">
        <v>1.96</v>
      </c>
      <c r="L27" t="inlineStr">
        <is>
          <t>Fast</t>
        </is>
      </c>
      <c r="M27" t="inlineStr">
        <is>
          <t>A</t>
        </is>
      </c>
    </row>
    <row r="28">
      <c r="A28" t="inlineStr">
        <is>
          <t>S005-P0016</t>
        </is>
      </c>
      <c r="B28" t="inlineStr">
        <is>
          <t>S005</t>
        </is>
      </c>
      <c r="C28" t="inlineStr">
        <is>
          <t>P0016</t>
        </is>
      </c>
      <c r="D28" t="inlineStr">
        <is>
          <t>Clothing</t>
        </is>
      </c>
      <c r="E28" t="n">
        <v>101821</v>
      </c>
      <c r="F28" t="n">
        <v>139.29</v>
      </c>
      <c r="G28" t="n">
        <v>278.4</v>
      </c>
      <c r="H28" t="n">
        <v>54.22</v>
      </c>
      <c r="I28" t="n">
        <v>5622557.21</v>
      </c>
      <c r="J28" t="n">
        <v>365.73</v>
      </c>
      <c r="K28" t="n">
        <v>2</v>
      </c>
      <c r="L28" t="inlineStr">
        <is>
          <t>Fast</t>
        </is>
      </c>
      <c r="M28" t="inlineStr">
        <is>
          <t>A</t>
        </is>
      </c>
    </row>
    <row r="29">
      <c r="A29" t="inlineStr">
        <is>
          <t>S001-P0001</t>
        </is>
      </c>
      <c r="B29" t="inlineStr">
        <is>
          <t>S001</t>
        </is>
      </c>
      <c r="C29" t="inlineStr">
        <is>
          <t>P0001</t>
        </is>
      </c>
      <c r="D29" t="inlineStr">
        <is>
          <t>Groceries</t>
        </is>
      </c>
      <c r="E29" t="n">
        <v>100371</v>
      </c>
      <c r="F29" t="n">
        <v>137.31</v>
      </c>
      <c r="G29" t="n">
        <v>272.82</v>
      </c>
      <c r="H29" t="n">
        <v>55.06</v>
      </c>
      <c r="I29" t="n">
        <v>5615758.96</v>
      </c>
      <c r="J29" t="n">
        <v>367.9</v>
      </c>
      <c r="K29" t="n">
        <v>1.99</v>
      </c>
      <c r="L29" t="inlineStr">
        <is>
          <t>Medium</t>
        </is>
      </c>
      <c r="M29" t="inlineStr">
        <is>
          <t>A</t>
        </is>
      </c>
    </row>
    <row r="30">
      <c r="A30" t="inlineStr">
        <is>
          <t>S004-P0001</t>
        </is>
      </c>
      <c r="B30" t="inlineStr">
        <is>
          <t>S004</t>
        </is>
      </c>
      <c r="C30" t="inlineStr">
        <is>
          <t>P0001</t>
        </is>
      </c>
      <c r="D30" t="inlineStr">
        <is>
          <t>Toys</t>
        </is>
      </c>
      <c r="E30" t="n">
        <v>101270</v>
      </c>
      <c r="F30" t="n">
        <v>138.54</v>
      </c>
      <c r="G30" t="n">
        <v>270.79</v>
      </c>
      <c r="H30" t="n">
        <v>54.69</v>
      </c>
      <c r="I30" t="n">
        <v>5614039.48</v>
      </c>
      <c r="J30" t="n">
        <v>373.98</v>
      </c>
      <c r="K30" t="n">
        <v>1.95</v>
      </c>
      <c r="L30" t="inlineStr">
        <is>
          <t>Medium</t>
        </is>
      </c>
      <c r="M30" t="inlineStr">
        <is>
          <t>A</t>
        </is>
      </c>
    </row>
    <row r="31">
      <c r="A31" t="inlineStr">
        <is>
          <t>S003-P0017</t>
        </is>
      </c>
      <c r="B31" t="inlineStr">
        <is>
          <t>S003</t>
        </is>
      </c>
      <c r="C31" t="inlineStr">
        <is>
          <t>P0017</t>
        </is>
      </c>
      <c r="D31" t="inlineStr">
        <is>
          <t>Clothing</t>
        </is>
      </c>
      <c r="E31" t="n">
        <v>104566</v>
      </c>
      <c r="F31" t="n">
        <v>143.05</v>
      </c>
      <c r="G31" t="n">
        <v>277.15</v>
      </c>
      <c r="H31" t="n">
        <v>54.51</v>
      </c>
      <c r="I31" t="n">
        <v>5609542.36</v>
      </c>
      <c r="J31" t="n">
        <v>377.29</v>
      </c>
      <c r="K31" t="n">
        <v>1.94</v>
      </c>
      <c r="L31" t="inlineStr">
        <is>
          <t>Fast</t>
        </is>
      </c>
      <c r="M31" t="inlineStr">
        <is>
          <t>A</t>
        </is>
      </c>
    </row>
    <row r="32">
      <c r="A32" t="inlineStr">
        <is>
          <t>S003-P0002</t>
        </is>
      </c>
      <c r="B32" t="inlineStr">
        <is>
          <t>S003</t>
        </is>
      </c>
      <c r="C32" t="inlineStr">
        <is>
          <t>P0002</t>
        </is>
      </c>
      <c r="D32" t="inlineStr">
        <is>
          <t>Electronics</t>
        </is>
      </c>
      <c r="E32" t="n">
        <v>104350</v>
      </c>
      <c r="F32" t="n">
        <v>142.75</v>
      </c>
      <c r="G32" t="n">
        <v>282.28</v>
      </c>
      <c r="H32" t="n">
        <v>53.98</v>
      </c>
      <c r="I32" t="n">
        <v>5608285.54</v>
      </c>
      <c r="J32" t="n">
        <v>369.66</v>
      </c>
      <c r="K32" t="n">
        <v>1.98</v>
      </c>
      <c r="L32" t="inlineStr">
        <is>
          <t>Fast</t>
        </is>
      </c>
      <c r="M32" t="inlineStr">
        <is>
          <t>A</t>
        </is>
      </c>
    </row>
    <row r="33">
      <c r="A33" t="inlineStr">
        <is>
          <t>S003-P0019</t>
        </is>
      </c>
      <c r="B33" t="inlineStr">
        <is>
          <t>S003</t>
        </is>
      </c>
      <c r="C33" t="inlineStr">
        <is>
          <t>P0019</t>
        </is>
      </c>
      <c r="D33" t="inlineStr">
        <is>
          <t>Clothing</t>
        </is>
      </c>
      <c r="E33" t="n">
        <v>104524</v>
      </c>
      <c r="F33" t="n">
        <v>142.99</v>
      </c>
      <c r="G33" t="n">
        <v>277.97</v>
      </c>
      <c r="H33" t="n">
        <v>54.95</v>
      </c>
      <c r="I33" t="n">
        <v>5606848.09</v>
      </c>
      <c r="J33" t="n">
        <v>376.03</v>
      </c>
      <c r="K33" t="n">
        <v>1.94</v>
      </c>
      <c r="L33" t="inlineStr">
        <is>
          <t>Fast</t>
        </is>
      </c>
      <c r="M33" t="inlineStr">
        <is>
          <t>A</t>
        </is>
      </c>
    </row>
    <row r="34">
      <c r="A34" t="inlineStr">
        <is>
          <t>S002-P0018</t>
        </is>
      </c>
      <c r="B34" t="inlineStr">
        <is>
          <t>S002</t>
        </is>
      </c>
      <c r="C34" t="inlineStr">
        <is>
          <t>P0018</t>
        </is>
      </c>
      <c r="D34" t="inlineStr">
        <is>
          <t>Groceries</t>
        </is>
      </c>
      <c r="E34" t="n">
        <v>102482</v>
      </c>
      <c r="F34" t="n">
        <v>140.19</v>
      </c>
      <c r="G34" t="n">
        <v>272.03</v>
      </c>
      <c r="H34" t="n">
        <v>54.41</v>
      </c>
      <c r="I34" t="n">
        <v>5592705.84</v>
      </c>
      <c r="J34" t="n">
        <v>376.74</v>
      </c>
      <c r="K34" t="n">
        <v>1.94</v>
      </c>
      <c r="L34" t="inlineStr">
        <is>
          <t>Fast</t>
        </is>
      </c>
      <c r="M34" t="inlineStr">
        <is>
          <t>A</t>
        </is>
      </c>
    </row>
    <row r="35">
      <c r="A35" t="inlineStr">
        <is>
          <t>S002-P0007</t>
        </is>
      </c>
      <c r="B35" t="inlineStr">
        <is>
          <t>S002</t>
        </is>
      </c>
      <c r="C35" t="inlineStr">
        <is>
          <t>P0007</t>
        </is>
      </c>
      <c r="D35" t="inlineStr">
        <is>
          <t>Groceries</t>
        </is>
      </c>
      <c r="E35" t="n">
        <v>100601</v>
      </c>
      <c r="F35" t="n">
        <v>137.62</v>
      </c>
      <c r="G35" t="n">
        <v>274.86</v>
      </c>
      <c r="H35" t="n">
        <v>54.65</v>
      </c>
      <c r="I35" t="n">
        <v>5588503.51</v>
      </c>
      <c r="J35" t="n">
        <v>366.01</v>
      </c>
      <c r="K35" t="n">
        <v>2</v>
      </c>
      <c r="L35" t="inlineStr">
        <is>
          <t>Medium</t>
        </is>
      </c>
      <c r="M35" t="inlineStr">
        <is>
          <t>A</t>
        </is>
      </c>
    </row>
    <row r="36">
      <c r="A36" t="inlineStr">
        <is>
          <t>S003-P0020</t>
        </is>
      </c>
      <c r="B36" t="inlineStr">
        <is>
          <t>S003</t>
        </is>
      </c>
      <c r="C36" t="inlineStr">
        <is>
          <t>P0020</t>
        </is>
      </c>
      <c r="D36" t="inlineStr">
        <is>
          <t>Electronics</t>
        </is>
      </c>
      <c r="E36" t="n">
        <v>100552</v>
      </c>
      <c r="F36" t="n">
        <v>137.55</v>
      </c>
      <c r="G36" t="n">
        <v>272.65</v>
      </c>
      <c r="H36" t="n">
        <v>55.59</v>
      </c>
      <c r="I36" t="n">
        <v>5577727.56</v>
      </c>
      <c r="J36" t="n">
        <v>368.79</v>
      </c>
      <c r="K36" t="n">
        <v>1.98</v>
      </c>
      <c r="L36" t="inlineStr">
        <is>
          <t>Medium</t>
        </is>
      </c>
      <c r="M36" t="inlineStr">
        <is>
          <t>A</t>
        </is>
      </c>
    </row>
    <row r="37">
      <c r="A37" t="inlineStr">
        <is>
          <t>S005-P0009</t>
        </is>
      </c>
      <c r="B37" t="inlineStr">
        <is>
          <t>S005</t>
        </is>
      </c>
      <c r="C37" t="inlineStr">
        <is>
          <t>P0009</t>
        </is>
      </c>
      <c r="D37" t="inlineStr">
        <is>
          <t>Groceries</t>
        </is>
      </c>
      <c r="E37" t="n">
        <v>99558</v>
      </c>
      <c r="F37" t="n">
        <v>136.19</v>
      </c>
      <c r="G37" t="n">
        <v>272.26</v>
      </c>
      <c r="H37" t="n">
        <v>55.37</v>
      </c>
      <c r="I37" t="n">
        <v>5559056.15</v>
      </c>
      <c r="J37" t="n">
        <v>365.68</v>
      </c>
      <c r="K37" t="n">
        <v>2</v>
      </c>
      <c r="L37" t="inlineStr">
        <is>
          <t>Medium</t>
        </is>
      </c>
      <c r="M37" t="inlineStr">
        <is>
          <t>A</t>
        </is>
      </c>
    </row>
    <row r="38">
      <c r="A38" t="inlineStr">
        <is>
          <t>S001-P0020</t>
        </is>
      </c>
      <c r="B38" t="inlineStr">
        <is>
          <t>S001</t>
        </is>
      </c>
      <c r="C38" t="inlineStr">
        <is>
          <t>P0020</t>
        </is>
      </c>
      <c r="D38" t="inlineStr">
        <is>
          <t>Toys</t>
        </is>
      </c>
      <c r="E38" t="n">
        <v>101144</v>
      </c>
      <c r="F38" t="n">
        <v>138.36</v>
      </c>
      <c r="G38" t="n">
        <v>276.02</v>
      </c>
      <c r="H38" t="n">
        <v>55.54</v>
      </c>
      <c r="I38" t="n">
        <v>5558112.49</v>
      </c>
      <c r="J38" t="n">
        <v>366.43</v>
      </c>
      <c r="K38" t="n">
        <v>1.99</v>
      </c>
      <c r="L38" t="inlineStr">
        <is>
          <t>Medium</t>
        </is>
      </c>
      <c r="M38" t="inlineStr">
        <is>
          <t>A</t>
        </is>
      </c>
    </row>
    <row r="39">
      <c r="A39" t="inlineStr">
        <is>
          <t>S005-P0012</t>
        </is>
      </c>
      <c r="B39" t="inlineStr">
        <is>
          <t>S005</t>
        </is>
      </c>
      <c r="C39" t="inlineStr">
        <is>
          <t>P0012</t>
        </is>
      </c>
      <c r="D39" t="inlineStr">
        <is>
          <t>Electronics</t>
        </is>
      </c>
      <c r="E39" t="n">
        <v>98432</v>
      </c>
      <c r="F39" t="n">
        <v>134.65</v>
      </c>
      <c r="G39" t="n">
        <v>278.64</v>
      </c>
      <c r="H39" t="n">
        <v>56.71</v>
      </c>
      <c r="I39" t="n">
        <v>5554938.51</v>
      </c>
      <c r="J39" t="n">
        <v>353.25</v>
      </c>
      <c r="K39" t="n">
        <v>2.07</v>
      </c>
      <c r="L39" t="inlineStr">
        <is>
          <t>Medium</t>
        </is>
      </c>
      <c r="M39" t="inlineStr">
        <is>
          <t>A</t>
        </is>
      </c>
    </row>
    <row r="40">
      <c r="A40" t="inlineStr">
        <is>
          <t>S002-P0005</t>
        </is>
      </c>
      <c r="B40" t="inlineStr">
        <is>
          <t>S002</t>
        </is>
      </c>
      <c r="C40" t="inlineStr">
        <is>
          <t>P0005</t>
        </is>
      </c>
      <c r="D40" t="inlineStr">
        <is>
          <t>Toys</t>
        </is>
      </c>
      <c r="E40" t="n">
        <v>96910</v>
      </c>
      <c r="F40" t="n">
        <v>132.57</v>
      </c>
      <c r="G40" t="n">
        <v>271.09</v>
      </c>
      <c r="H40" t="n">
        <v>56.31</v>
      </c>
      <c r="I40" t="n">
        <v>5531804.75</v>
      </c>
      <c r="J40" t="n">
        <v>357.48</v>
      </c>
      <c r="K40" t="n">
        <v>2.04</v>
      </c>
      <c r="L40" t="inlineStr">
        <is>
          <t>Slow</t>
        </is>
      </c>
      <c r="M40" t="inlineStr">
        <is>
          <t>A</t>
        </is>
      </c>
    </row>
    <row r="41">
      <c r="A41" t="inlineStr">
        <is>
          <t>S005-P0004</t>
        </is>
      </c>
      <c r="B41" t="inlineStr">
        <is>
          <t>S005</t>
        </is>
      </c>
      <c r="C41" t="inlineStr">
        <is>
          <t>P0004</t>
        </is>
      </c>
      <c r="D41" t="inlineStr">
        <is>
          <t>Furniture</t>
        </is>
      </c>
      <c r="E41" t="n">
        <v>98836</v>
      </c>
      <c r="F41" t="n">
        <v>135.21</v>
      </c>
      <c r="G41" t="n">
        <v>269.7</v>
      </c>
      <c r="H41" t="n">
        <v>55.67</v>
      </c>
      <c r="I41" t="n">
        <v>5524978.21</v>
      </c>
      <c r="J41" t="n">
        <v>366.47</v>
      </c>
      <c r="K41" t="n">
        <v>1.99</v>
      </c>
      <c r="L41" t="inlineStr">
        <is>
          <t>Medium</t>
        </is>
      </c>
      <c r="M41" t="inlineStr">
        <is>
          <t>A</t>
        </is>
      </c>
    </row>
    <row r="42">
      <c r="A42" t="inlineStr">
        <is>
          <t>S005-P0019</t>
        </is>
      </c>
      <c r="B42" t="inlineStr">
        <is>
          <t>S005</t>
        </is>
      </c>
      <c r="C42" t="inlineStr">
        <is>
          <t>P0019</t>
        </is>
      </c>
      <c r="D42" t="inlineStr">
        <is>
          <t>Groceries</t>
        </is>
      </c>
      <c r="E42" t="n">
        <v>98724</v>
      </c>
      <c r="F42" t="n">
        <v>135.05</v>
      </c>
      <c r="G42" t="n">
        <v>277.93</v>
      </c>
      <c r="H42" t="n">
        <v>55.97</v>
      </c>
      <c r="I42" t="n">
        <v>5521576.54</v>
      </c>
      <c r="J42" t="n">
        <v>355.22</v>
      </c>
      <c r="K42" t="n">
        <v>2.06</v>
      </c>
      <c r="L42" t="inlineStr">
        <is>
          <t>Medium</t>
        </is>
      </c>
      <c r="M42" t="inlineStr">
        <is>
          <t>A</t>
        </is>
      </c>
    </row>
    <row r="43">
      <c r="A43" t="inlineStr">
        <is>
          <t>S002-P0004</t>
        </is>
      </c>
      <c r="B43" t="inlineStr">
        <is>
          <t>S002</t>
        </is>
      </c>
      <c r="C43" t="inlineStr">
        <is>
          <t>P0004</t>
        </is>
      </c>
      <c r="D43" t="inlineStr">
        <is>
          <t>Toys</t>
        </is>
      </c>
      <c r="E43" t="n">
        <v>101190</v>
      </c>
      <c r="F43" t="n">
        <v>138.43</v>
      </c>
      <c r="G43" t="n">
        <v>272.06</v>
      </c>
      <c r="H43" t="n">
        <v>54.79</v>
      </c>
      <c r="I43" t="n">
        <v>5519104.37</v>
      </c>
      <c r="J43" t="n">
        <v>371.94</v>
      </c>
      <c r="K43" t="n">
        <v>1.97</v>
      </c>
      <c r="L43" t="inlineStr">
        <is>
          <t>Medium</t>
        </is>
      </c>
      <c r="M43" t="inlineStr">
        <is>
          <t>A</t>
        </is>
      </c>
    </row>
    <row r="44">
      <c r="A44" t="inlineStr">
        <is>
          <t>S004-P0010</t>
        </is>
      </c>
      <c r="B44" t="inlineStr">
        <is>
          <t>S004</t>
        </is>
      </c>
      <c r="C44" t="inlineStr">
        <is>
          <t>P0010</t>
        </is>
      </c>
      <c r="D44" t="inlineStr">
        <is>
          <t>Groceries</t>
        </is>
      </c>
      <c r="E44" t="n">
        <v>100728</v>
      </c>
      <c r="F44" t="n">
        <v>137.79</v>
      </c>
      <c r="G44" t="n">
        <v>280.39</v>
      </c>
      <c r="H44" t="n">
        <v>54.7</v>
      </c>
      <c r="I44" t="n">
        <v>5518315.96</v>
      </c>
      <c r="J44" t="n">
        <v>359.25</v>
      </c>
      <c r="K44" t="n">
        <v>2.03</v>
      </c>
      <c r="L44" t="inlineStr">
        <is>
          <t>Medium</t>
        </is>
      </c>
      <c r="M44" t="inlineStr">
        <is>
          <t>A</t>
        </is>
      </c>
    </row>
    <row r="45">
      <c r="A45" t="inlineStr">
        <is>
          <t>S003-P0009</t>
        </is>
      </c>
      <c r="B45" t="inlineStr">
        <is>
          <t>S003</t>
        </is>
      </c>
      <c r="C45" t="inlineStr">
        <is>
          <t>P0009</t>
        </is>
      </c>
      <c r="D45" t="inlineStr">
        <is>
          <t>Groceries</t>
        </is>
      </c>
      <c r="E45" t="n">
        <v>102682</v>
      </c>
      <c r="F45" t="n">
        <v>140.47</v>
      </c>
      <c r="G45" t="n">
        <v>280.16</v>
      </c>
      <c r="H45" t="n">
        <v>54.21</v>
      </c>
      <c r="I45" t="n">
        <v>5517292.13</v>
      </c>
      <c r="J45" t="n">
        <v>366.51</v>
      </c>
      <c r="K45" t="n">
        <v>1.99</v>
      </c>
      <c r="L45" t="inlineStr">
        <is>
          <t>Fast</t>
        </is>
      </c>
      <c r="M45" t="inlineStr">
        <is>
          <t>A</t>
        </is>
      </c>
    </row>
    <row r="46">
      <c r="A46" t="inlineStr">
        <is>
          <t>S004-P0015</t>
        </is>
      </c>
      <c r="B46" t="inlineStr">
        <is>
          <t>S004</t>
        </is>
      </c>
      <c r="C46" t="inlineStr">
        <is>
          <t>P0015</t>
        </is>
      </c>
      <c r="D46" t="inlineStr">
        <is>
          <t>Clothing</t>
        </is>
      </c>
      <c r="E46" t="n">
        <v>100664</v>
      </c>
      <c r="F46" t="n">
        <v>137.71</v>
      </c>
      <c r="G46" t="n">
        <v>277.69</v>
      </c>
      <c r="H46" t="n">
        <v>53.93</v>
      </c>
      <c r="I46" t="n">
        <v>5509431.14</v>
      </c>
      <c r="J46" t="n">
        <v>362.5</v>
      </c>
      <c r="K46" t="n">
        <v>2.02</v>
      </c>
      <c r="L46" t="inlineStr">
        <is>
          <t>Medium</t>
        </is>
      </c>
      <c r="M46" t="inlineStr">
        <is>
          <t>A</t>
        </is>
      </c>
    </row>
    <row r="47">
      <c r="A47" t="inlineStr">
        <is>
          <t>S004-P0019</t>
        </is>
      </c>
      <c r="B47" t="inlineStr">
        <is>
          <t>S004</t>
        </is>
      </c>
      <c r="C47" t="inlineStr">
        <is>
          <t>P0019</t>
        </is>
      </c>
      <c r="D47" t="inlineStr">
        <is>
          <t>Groceries</t>
        </is>
      </c>
      <c r="E47" t="n">
        <v>99798</v>
      </c>
      <c r="F47" t="n">
        <v>136.52</v>
      </c>
      <c r="G47" t="n">
        <v>272.49</v>
      </c>
      <c r="H47" t="n">
        <v>54.86</v>
      </c>
      <c r="I47" t="n">
        <v>5506190.29</v>
      </c>
      <c r="J47" t="n">
        <v>366.24</v>
      </c>
      <c r="K47" t="n">
        <v>2</v>
      </c>
      <c r="L47" t="inlineStr">
        <is>
          <t>Medium</t>
        </is>
      </c>
      <c r="M47" t="inlineStr">
        <is>
          <t>A</t>
        </is>
      </c>
    </row>
    <row r="48">
      <c r="A48" t="inlineStr">
        <is>
          <t>S005-P0007</t>
        </is>
      </c>
      <c r="B48" t="inlineStr">
        <is>
          <t>S005</t>
        </is>
      </c>
      <c r="C48" t="inlineStr">
        <is>
          <t>P0007</t>
        </is>
      </c>
      <c r="D48" t="inlineStr">
        <is>
          <t>Clothing</t>
        </is>
      </c>
      <c r="E48" t="n">
        <v>101198</v>
      </c>
      <c r="F48" t="n">
        <v>138.44</v>
      </c>
      <c r="G48" t="n">
        <v>278.19</v>
      </c>
      <c r="H48" t="n">
        <v>54.5</v>
      </c>
      <c r="I48" t="n">
        <v>5500508.35</v>
      </c>
      <c r="J48" t="n">
        <v>363.77</v>
      </c>
      <c r="K48" t="n">
        <v>2.01</v>
      </c>
      <c r="L48" t="inlineStr">
        <is>
          <t>Medium</t>
        </is>
      </c>
      <c r="M48" t="inlineStr">
        <is>
          <t>A</t>
        </is>
      </c>
    </row>
    <row r="49">
      <c r="A49" t="inlineStr">
        <is>
          <t>S005-P0018</t>
        </is>
      </c>
      <c r="B49" t="inlineStr">
        <is>
          <t>S005</t>
        </is>
      </c>
      <c r="C49" t="inlineStr">
        <is>
          <t>P0018</t>
        </is>
      </c>
      <c r="D49" t="inlineStr">
        <is>
          <t>Furniture</t>
        </is>
      </c>
      <c r="E49" t="n">
        <v>98064</v>
      </c>
      <c r="F49" t="n">
        <v>134.15</v>
      </c>
      <c r="G49" t="n">
        <v>270.77</v>
      </c>
      <c r="H49" t="n">
        <v>55</v>
      </c>
      <c r="I49" t="n">
        <v>5498957.52</v>
      </c>
      <c r="J49" t="n">
        <v>362.16</v>
      </c>
      <c r="K49" t="n">
        <v>2.02</v>
      </c>
      <c r="L49" t="inlineStr">
        <is>
          <t>Medium</t>
        </is>
      </c>
      <c r="M49" t="inlineStr">
        <is>
          <t>A</t>
        </is>
      </c>
    </row>
    <row r="50">
      <c r="A50" t="inlineStr">
        <is>
          <t>S001-P0007</t>
        </is>
      </c>
      <c r="B50" t="inlineStr">
        <is>
          <t>S001</t>
        </is>
      </c>
      <c r="C50" t="inlineStr">
        <is>
          <t>P0007</t>
        </is>
      </c>
      <c r="D50" t="inlineStr">
        <is>
          <t>Furniture</t>
        </is>
      </c>
      <c r="E50" t="n">
        <v>100749</v>
      </c>
      <c r="F50" t="n">
        <v>137.82</v>
      </c>
      <c r="G50" t="n">
        <v>278.41</v>
      </c>
      <c r="H50" t="n">
        <v>54.7</v>
      </c>
      <c r="I50" t="n">
        <v>5494502.77</v>
      </c>
      <c r="J50" t="n">
        <v>361.87</v>
      </c>
      <c r="K50" t="n">
        <v>2.02</v>
      </c>
      <c r="L50" t="inlineStr">
        <is>
          <t>Medium</t>
        </is>
      </c>
      <c r="M50" t="inlineStr">
        <is>
          <t>A</t>
        </is>
      </c>
    </row>
    <row r="51">
      <c r="A51" t="inlineStr">
        <is>
          <t>S005-P0006</t>
        </is>
      </c>
      <c r="B51" t="inlineStr">
        <is>
          <t>S005</t>
        </is>
      </c>
      <c r="C51" t="inlineStr">
        <is>
          <t>P0006</t>
        </is>
      </c>
      <c r="D51" t="inlineStr">
        <is>
          <t>Groceries</t>
        </is>
      </c>
      <c r="E51" t="n">
        <v>98871</v>
      </c>
      <c r="F51" t="n">
        <v>135.25</v>
      </c>
      <c r="G51" t="n">
        <v>273.36</v>
      </c>
      <c r="H51" t="n">
        <v>55.4</v>
      </c>
      <c r="I51" t="n">
        <v>5494422.9</v>
      </c>
      <c r="J51" t="n">
        <v>361.69</v>
      </c>
      <c r="K51" t="n">
        <v>2.02</v>
      </c>
      <c r="L51" t="inlineStr">
        <is>
          <t>Medium</t>
        </is>
      </c>
      <c r="M51" t="inlineStr">
        <is>
          <t>A</t>
        </is>
      </c>
    </row>
    <row r="52">
      <c r="A52" t="inlineStr">
        <is>
          <t>S004-P0008</t>
        </is>
      </c>
      <c r="B52" t="inlineStr">
        <is>
          <t>S004</t>
        </is>
      </c>
      <c r="C52" t="inlineStr">
        <is>
          <t>P0008</t>
        </is>
      </c>
      <c r="D52" t="inlineStr">
        <is>
          <t>Furniture</t>
        </is>
      </c>
      <c r="E52" t="n">
        <v>98371</v>
      </c>
      <c r="F52" t="n">
        <v>134.57</v>
      </c>
      <c r="G52" t="n">
        <v>273.29</v>
      </c>
      <c r="H52" t="n">
        <v>56.1</v>
      </c>
      <c r="I52" t="n">
        <v>5492133.62</v>
      </c>
      <c r="J52" t="n">
        <v>359.95</v>
      </c>
      <c r="K52" t="n">
        <v>2.03</v>
      </c>
      <c r="L52" t="inlineStr">
        <is>
          <t>Medium</t>
        </is>
      </c>
      <c r="M52" t="inlineStr">
        <is>
          <t>A</t>
        </is>
      </c>
    </row>
    <row r="53">
      <c r="A53" t="inlineStr">
        <is>
          <t>S002-P0013</t>
        </is>
      </c>
      <c r="B53" t="inlineStr">
        <is>
          <t>S002</t>
        </is>
      </c>
      <c r="C53" t="inlineStr">
        <is>
          <t>P0013</t>
        </is>
      </c>
      <c r="D53" t="inlineStr">
        <is>
          <t>Clothing</t>
        </is>
      </c>
      <c r="E53" t="n">
        <v>98116</v>
      </c>
      <c r="F53" t="n">
        <v>134.22</v>
      </c>
      <c r="G53" t="n">
        <v>277.55</v>
      </c>
      <c r="H53" t="n">
        <v>55.18</v>
      </c>
      <c r="I53" t="n">
        <v>5480070.48</v>
      </c>
      <c r="J53" t="n">
        <v>353.51</v>
      </c>
      <c r="K53" t="n">
        <v>2.07</v>
      </c>
      <c r="L53" t="inlineStr">
        <is>
          <t>Medium</t>
        </is>
      </c>
      <c r="M53" t="inlineStr">
        <is>
          <t>A</t>
        </is>
      </c>
    </row>
    <row r="54">
      <c r="A54" t="inlineStr">
        <is>
          <t>S001-P0003</t>
        </is>
      </c>
      <c r="B54" t="inlineStr">
        <is>
          <t>S001</t>
        </is>
      </c>
      <c r="C54" t="inlineStr">
        <is>
          <t>P0003</t>
        </is>
      </c>
      <c r="D54" t="inlineStr">
        <is>
          <t>Toys</t>
        </is>
      </c>
      <c r="E54" t="n">
        <v>103393</v>
      </c>
      <c r="F54" t="n">
        <v>141.44</v>
      </c>
      <c r="G54" t="n">
        <v>274.54</v>
      </c>
      <c r="H54" t="n">
        <v>54.34</v>
      </c>
      <c r="I54" t="n">
        <v>5478106.04</v>
      </c>
      <c r="J54" t="n">
        <v>376.6</v>
      </c>
      <c r="K54" t="n">
        <v>1.94</v>
      </c>
      <c r="L54" t="inlineStr">
        <is>
          <t>Fast</t>
        </is>
      </c>
      <c r="M54" t="inlineStr">
        <is>
          <t>A</t>
        </is>
      </c>
    </row>
    <row r="55">
      <c r="A55" t="inlineStr">
        <is>
          <t>S002-P0014</t>
        </is>
      </c>
      <c r="B55" t="inlineStr">
        <is>
          <t>S002</t>
        </is>
      </c>
      <c r="C55" t="inlineStr">
        <is>
          <t>P0014</t>
        </is>
      </c>
      <c r="D55" t="inlineStr">
        <is>
          <t>Electronics</t>
        </is>
      </c>
      <c r="E55" t="n">
        <v>98251</v>
      </c>
      <c r="F55" t="n">
        <v>134.41</v>
      </c>
      <c r="G55" t="n">
        <v>272.16</v>
      </c>
      <c r="H55" t="n">
        <v>55.68</v>
      </c>
      <c r="I55" t="n">
        <v>5467445.92</v>
      </c>
      <c r="J55" t="n">
        <v>361</v>
      </c>
      <c r="K55" t="n">
        <v>2.02</v>
      </c>
      <c r="L55" t="inlineStr">
        <is>
          <t>Medium</t>
        </is>
      </c>
      <c r="M55" t="inlineStr">
        <is>
          <t>A</t>
        </is>
      </c>
    </row>
    <row r="56">
      <c r="A56" t="inlineStr">
        <is>
          <t>S005-P0017</t>
        </is>
      </c>
      <c r="B56" t="inlineStr">
        <is>
          <t>S005</t>
        </is>
      </c>
      <c r="C56" t="inlineStr">
        <is>
          <t>P0017</t>
        </is>
      </c>
      <c r="D56" t="inlineStr">
        <is>
          <t>Electronics</t>
        </is>
      </c>
      <c r="E56" t="n">
        <v>100358</v>
      </c>
      <c r="F56" t="n">
        <v>137.29</v>
      </c>
      <c r="G56" t="n">
        <v>282.6</v>
      </c>
      <c r="H56" t="n">
        <v>55.04</v>
      </c>
      <c r="I56" t="n">
        <v>5465469.8</v>
      </c>
      <c r="J56" t="n">
        <v>355.12</v>
      </c>
      <c r="K56" t="n">
        <v>2.06</v>
      </c>
      <c r="L56" t="inlineStr">
        <is>
          <t>Medium</t>
        </is>
      </c>
      <c r="M56" t="inlineStr">
        <is>
          <t>A</t>
        </is>
      </c>
    </row>
    <row r="57">
      <c r="A57" t="inlineStr">
        <is>
          <t>S001-P0017</t>
        </is>
      </c>
      <c r="B57" t="inlineStr">
        <is>
          <t>S001</t>
        </is>
      </c>
      <c r="C57" t="inlineStr">
        <is>
          <t>P0017</t>
        </is>
      </c>
      <c r="D57" t="inlineStr">
        <is>
          <t>Toys</t>
        </is>
      </c>
      <c r="E57" t="n">
        <v>99744</v>
      </c>
      <c r="F57" t="n">
        <v>136.45</v>
      </c>
      <c r="G57" t="n">
        <v>285.65</v>
      </c>
      <c r="H57" t="n">
        <v>55.53</v>
      </c>
      <c r="I57" t="n">
        <v>5461843.24</v>
      </c>
      <c r="J57" t="n">
        <v>349.18</v>
      </c>
      <c r="K57" t="n">
        <v>2.09</v>
      </c>
      <c r="L57" t="inlineStr">
        <is>
          <t>Medium</t>
        </is>
      </c>
      <c r="M57" t="inlineStr">
        <is>
          <t>A</t>
        </is>
      </c>
    </row>
    <row r="58">
      <c r="A58" t="inlineStr">
        <is>
          <t>S001-P0008</t>
        </is>
      </c>
      <c r="B58" t="inlineStr">
        <is>
          <t>S001</t>
        </is>
      </c>
      <c r="C58" t="inlineStr">
        <is>
          <t>P0008</t>
        </is>
      </c>
      <c r="D58" t="inlineStr">
        <is>
          <t>Clothing</t>
        </is>
      </c>
      <c r="E58" t="n">
        <v>100244</v>
      </c>
      <c r="F58" t="n">
        <v>137.13</v>
      </c>
      <c r="G58" t="n">
        <v>269.92</v>
      </c>
      <c r="H58" t="n">
        <v>55.13</v>
      </c>
      <c r="I58" t="n">
        <v>5460705.44</v>
      </c>
      <c r="J58" t="n">
        <v>371.38</v>
      </c>
      <c r="K58" t="n">
        <v>1.97</v>
      </c>
      <c r="L58" t="inlineStr">
        <is>
          <t>Medium</t>
        </is>
      </c>
      <c r="M58" t="inlineStr">
        <is>
          <t>A</t>
        </is>
      </c>
    </row>
    <row r="59">
      <c r="A59" t="inlineStr">
        <is>
          <t>S001-P0015</t>
        </is>
      </c>
      <c r="B59" t="inlineStr">
        <is>
          <t>S001</t>
        </is>
      </c>
      <c r="C59" t="inlineStr">
        <is>
          <t>P0015</t>
        </is>
      </c>
      <c r="D59" t="inlineStr">
        <is>
          <t>Clothing</t>
        </is>
      </c>
      <c r="E59" t="n">
        <v>100795</v>
      </c>
      <c r="F59" t="n">
        <v>137.89</v>
      </c>
      <c r="G59" t="n">
        <v>277.48</v>
      </c>
      <c r="H59" t="n">
        <v>54.65</v>
      </c>
      <c r="I59" t="n">
        <v>5458171.86</v>
      </c>
      <c r="J59" t="n">
        <v>363.25</v>
      </c>
      <c r="K59" t="n">
        <v>2.01</v>
      </c>
      <c r="L59" t="inlineStr">
        <is>
          <t>Medium</t>
        </is>
      </c>
      <c r="M59" t="inlineStr">
        <is>
          <t>A</t>
        </is>
      </c>
    </row>
    <row r="60">
      <c r="A60" t="inlineStr">
        <is>
          <t>S003-P0012</t>
        </is>
      </c>
      <c r="B60" t="inlineStr">
        <is>
          <t>S003</t>
        </is>
      </c>
      <c r="C60" t="inlineStr">
        <is>
          <t>P0012</t>
        </is>
      </c>
      <c r="D60" t="inlineStr">
        <is>
          <t>Electronics</t>
        </is>
      </c>
      <c r="E60" t="n">
        <v>100529</v>
      </c>
      <c r="F60" t="n">
        <v>137.52</v>
      </c>
      <c r="G60" t="n">
        <v>276.77</v>
      </c>
      <c r="H60" t="n">
        <v>54.29</v>
      </c>
      <c r="I60" t="n">
        <v>5452326.44</v>
      </c>
      <c r="J60" t="n">
        <v>363.23</v>
      </c>
      <c r="K60" t="n">
        <v>2.01</v>
      </c>
      <c r="L60" t="inlineStr">
        <is>
          <t>Medium</t>
        </is>
      </c>
      <c r="M60" t="inlineStr">
        <is>
          <t>A</t>
        </is>
      </c>
    </row>
    <row r="61">
      <c r="A61" t="inlineStr">
        <is>
          <t>S001-P0010</t>
        </is>
      </c>
      <c r="B61" t="inlineStr">
        <is>
          <t>S001</t>
        </is>
      </c>
      <c r="C61" t="inlineStr">
        <is>
          <t>P0010</t>
        </is>
      </c>
      <c r="D61" t="inlineStr">
        <is>
          <t>Toys</t>
        </is>
      </c>
      <c r="E61" t="n">
        <v>96756</v>
      </c>
      <c r="F61" t="n">
        <v>132.36</v>
      </c>
      <c r="G61" t="n">
        <v>274.89</v>
      </c>
      <c r="H61" t="n">
        <v>56.62</v>
      </c>
      <c r="I61" t="n">
        <v>5450054.48</v>
      </c>
      <c r="J61" t="n">
        <v>351.99</v>
      </c>
      <c r="K61" t="n">
        <v>2.08</v>
      </c>
      <c r="L61" t="inlineStr">
        <is>
          <t>Slow</t>
        </is>
      </c>
      <c r="M61" t="inlineStr">
        <is>
          <t>A</t>
        </is>
      </c>
    </row>
    <row r="62">
      <c r="A62" t="inlineStr">
        <is>
          <t>S001-P0014</t>
        </is>
      </c>
      <c r="B62" t="inlineStr">
        <is>
          <t>S001</t>
        </is>
      </c>
      <c r="C62" t="inlineStr">
        <is>
          <t>P0014</t>
        </is>
      </c>
      <c r="D62" t="inlineStr">
        <is>
          <t>Clothing</t>
        </is>
      </c>
      <c r="E62" t="n">
        <v>99870</v>
      </c>
      <c r="F62" t="n">
        <v>136.62</v>
      </c>
      <c r="G62" t="n">
        <v>270.9</v>
      </c>
      <c r="H62" t="n">
        <v>55.52</v>
      </c>
      <c r="I62" t="n">
        <v>5447767.07</v>
      </c>
      <c r="J62" t="n">
        <v>368.67</v>
      </c>
      <c r="K62" t="n">
        <v>1.98</v>
      </c>
      <c r="L62" t="inlineStr">
        <is>
          <t>Medium</t>
        </is>
      </c>
      <c r="M62" t="inlineStr">
        <is>
          <t>A</t>
        </is>
      </c>
    </row>
    <row r="63">
      <c r="A63" t="inlineStr">
        <is>
          <t>S002-P0012</t>
        </is>
      </c>
      <c r="B63" t="inlineStr">
        <is>
          <t>S002</t>
        </is>
      </c>
      <c r="C63" t="inlineStr">
        <is>
          <t>P0012</t>
        </is>
      </c>
      <c r="D63" t="inlineStr">
        <is>
          <t>Groceries</t>
        </is>
      </c>
      <c r="E63" t="n">
        <v>102528</v>
      </c>
      <c r="F63" t="n">
        <v>140.26</v>
      </c>
      <c r="G63" t="n">
        <v>271.63</v>
      </c>
      <c r="H63" t="n">
        <v>52.9</v>
      </c>
      <c r="I63" t="n">
        <v>5425353.86</v>
      </c>
      <c r="J63" t="n">
        <v>377.45</v>
      </c>
      <c r="K63" t="n">
        <v>1.94</v>
      </c>
      <c r="L63" t="inlineStr">
        <is>
          <t>Fast</t>
        </is>
      </c>
      <c r="M63" t="inlineStr">
        <is>
          <t>A</t>
        </is>
      </c>
    </row>
    <row r="64">
      <c r="A64" t="inlineStr">
        <is>
          <t>S004-P0006</t>
        </is>
      </c>
      <c r="B64" t="inlineStr">
        <is>
          <t>S004</t>
        </is>
      </c>
      <c r="C64" t="inlineStr">
        <is>
          <t>P0006</t>
        </is>
      </c>
      <c r="D64" t="inlineStr">
        <is>
          <t>Electronics</t>
        </is>
      </c>
      <c r="E64" t="n">
        <v>103147</v>
      </c>
      <c r="F64" t="n">
        <v>141.1</v>
      </c>
      <c r="G64" t="n">
        <v>273.6</v>
      </c>
      <c r="H64" t="n">
        <v>52.69</v>
      </c>
      <c r="I64" t="n">
        <v>5412187.63</v>
      </c>
      <c r="J64" t="n">
        <v>377</v>
      </c>
      <c r="K64" t="n">
        <v>1.94</v>
      </c>
      <c r="L64" t="inlineStr">
        <is>
          <t>Fast</t>
        </is>
      </c>
      <c r="M64" t="inlineStr">
        <is>
          <t>A</t>
        </is>
      </c>
    </row>
    <row r="65">
      <c r="A65" t="inlineStr">
        <is>
          <t>S003-P0015</t>
        </is>
      </c>
      <c r="B65" t="inlineStr">
        <is>
          <t>S003</t>
        </is>
      </c>
      <c r="C65" t="inlineStr">
        <is>
          <t>P0015</t>
        </is>
      </c>
      <c r="D65" t="inlineStr">
        <is>
          <t>Clothing</t>
        </is>
      </c>
      <c r="E65" t="n">
        <v>101119</v>
      </c>
      <c r="F65" t="n">
        <v>138.33</v>
      </c>
      <c r="G65" t="n">
        <v>279.27</v>
      </c>
      <c r="H65" t="n">
        <v>54.27</v>
      </c>
      <c r="I65" t="n">
        <v>5405253.51</v>
      </c>
      <c r="J65" t="n">
        <v>362.08</v>
      </c>
      <c r="K65" t="n">
        <v>2.02</v>
      </c>
      <c r="L65" t="inlineStr">
        <is>
          <t>Medium</t>
        </is>
      </c>
      <c r="M65" t="inlineStr">
        <is>
          <t>A</t>
        </is>
      </c>
    </row>
    <row r="66">
      <c r="A66" t="inlineStr">
        <is>
          <t>S004-P0012</t>
        </is>
      </c>
      <c r="B66" t="inlineStr">
        <is>
          <t>S004</t>
        </is>
      </c>
      <c r="C66" t="inlineStr">
        <is>
          <t>P0012</t>
        </is>
      </c>
      <c r="D66" t="inlineStr">
        <is>
          <t>Electronics</t>
        </is>
      </c>
      <c r="E66" t="n">
        <v>96327</v>
      </c>
      <c r="F66" t="n">
        <v>131.77</v>
      </c>
      <c r="G66" t="n">
        <v>268.75</v>
      </c>
      <c r="H66" t="n">
        <v>56.86</v>
      </c>
      <c r="I66" t="n">
        <v>5389198.22</v>
      </c>
      <c r="J66" t="n">
        <v>358.42</v>
      </c>
      <c r="K66" t="n">
        <v>2.04</v>
      </c>
      <c r="L66" t="inlineStr">
        <is>
          <t>Slow</t>
        </is>
      </c>
      <c r="M66" t="inlineStr">
        <is>
          <t>A</t>
        </is>
      </c>
    </row>
    <row r="67">
      <c r="A67" t="inlineStr">
        <is>
          <t>S005-P0002</t>
        </is>
      </c>
      <c r="B67" t="inlineStr">
        <is>
          <t>S005</t>
        </is>
      </c>
      <c r="C67" t="inlineStr">
        <is>
          <t>P0002</t>
        </is>
      </c>
      <c r="D67" t="inlineStr">
        <is>
          <t>Clothing</t>
        </is>
      </c>
      <c r="E67" t="n">
        <v>98187</v>
      </c>
      <c r="F67" t="n">
        <v>134.32</v>
      </c>
      <c r="G67" t="n">
        <v>264.98</v>
      </c>
      <c r="H67" t="n">
        <v>54.57</v>
      </c>
      <c r="I67" t="n">
        <v>5380178.94</v>
      </c>
      <c r="J67" t="n">
        <v>370.54</v>
      </c>
      <c r="K67" t="n">
        <v>1.97</v>
      </c>
      <c r="L67" t="inlineStr">
        <is>
          <t>Medium</t>
        </is>
      </c>
      <c r="M67" t="inlineStr">
        <is>
          <t>A</t>
        </is>
      </c>
    </row>
    <row r="68">
      <c r="A68" t="inlineStr">
        <is>
          <t>S003-P0010</t>
        </is>
      </c>
      <c r="B68" t="inlineStr">
        <is>
          <t>S003</t>
        </is>
      </c>
      <c r="C68" t="inlineStr">
        <is>
          <t>P0010</t>
        </is>
      </c>
      <c r="D68" t="inlineStr">
        <is>
          <t>Groceries</t>
        </is>
      </c>
      <c r="E68" t="n">
        <v>99422</v>
      </c>
      <c r="F68" t="n">
        <v>136.01</v>
      </c>
      <c r="G68" t="n">
        <v>265.29</v>
      </c>
      <c r="H68" t="n">
        <v>55.11</v>
      </c>
      <c r="I68" t="n">
        <v>5377834.54</v>
      </c>
      <c r="J68" t="n">
        <v>374.77</v>
      </c>
      <c r="K68" t="n">
        <v>1.95</v>
      </c>
      <c r="L68" t="inlineStr">
        <is>
          <t>Medium</t>
        </is>
      </c>
      <c r="M68" t="inlineStr">
        <is>
          <t>A</t>
        </is>
      </c>
    </row>
    <row r="69">
      <c r="A69" t="inlineStr">
        <is>
          <t>S005-P0008</t>
        </is>
      </c>
      <c r="B69" t="inlineStr">
        <is>
          <t>S005</t>
        </is>
      </c>
      <c r="C69" t="inlineStr">
        <is>
          <t>P0008</t>
        </is>
      </c>
      <c r="D69" t="inlineStr">
        <is>
          <t>Toys</t>
        </is>
      </c>
      <c r="E69" t="n">
        <v>97859</v>
      </c>
      <c r="F69" t="n">
        <v>133.87</v>
      </c>
      <c r="G69" t="n">
        <v>274.71</v>
      </c>
      <c r="H69" t="n">
        <v>55.26</v>
      </c>
      <c r="I69" t="n">
        <v>5374833.89</v>
      </c>
      <c r="J69" t="n">
        <v>356.23</v>
      </c>
      <c r="K69" t="n">
        <v>2.05</v>
      </c>
      <c r="L69" t="inlineStr">
        <is>
          <t>Medium</t>
        </is>
      </c>
      <c r="M69" t="inlineStr">
        <is>
          <t>A</t>
        </is>
      </c>
    </row>
    <row r="70">
      <c r="A70" t="inlineStr">
        <is>
          <t>S003-P0004</t>
        </is>
      </c>
      <c r="B70" t="inlineStr">
        <is>
          <t>S003</t>
        </is>
      </c>
      <c r="C70" t="inlineStr">
        <is>
          <t>P0004</t>
        </is>
      </c>
      <c r="D70" t="inlineStr">
        <is>
          <t>Toys</t>
        </is>
      </c>
      <c r="E70" t="n">
        <v>96660</v>
      </c>
      <c r="F70" t="n">
        <v>132.23</v>
      </c>
      <c r="G70" t="n">
        <v>269.94</v>
      </c>
      <c r="H70" t="n">
        <v>55.09</v>
      </c>
      <c r="I70" t="n">
        <v>5372252.97</v>
      </c>
      <c r="J70" t="n">
        <v>358.09</v>
      </c>
      <c r="K70" t="n">
        <v>2.04</v>
      </c>
      <c r="L70" t="inlineStr">
        <is>
          <t>Slow</t>
        </is>
      </c>
      <c r="M70" t="inlineStr">
        <is>
          <t>A</t>
        </is>
      </c>
    </row>
    <row r="71">
      <c r="A71" t="inlineStr">
        <is>
          <t>S004-P0004</t>
        </is>
      </c>
      <c r="B71" t="inlineStr">
        <is>
          <t>S004</t>
        </is>
      </c>
      <c r="C71" t="inlineStr">
        <is>
          <t>P0004</t>
        </is>
      </c>
      <c r="D71" t="inlineStr">
        <is>
          <t>Groceries</t>
        </is>
      </c>
      <c r="E71" t="n">
        <v>95814</v>
      </c>
      <c r="F71" t="n">
        <v>131.07</v>
      </c>
      <c r="G71" t="n">
        <v>270.18</v>
      </c>
      <c r="H71" t="n">
        <v>56.54</v>
      </c>
      <c r="I71" t="n">
        <v>5369832.66</v>
      </c>
      <c r="J71" t="n">
        <v>354.62</v>
      </c>
      <c r="K71" t="n">
        <v>2.06</v>
      </c>
      <c r="L71" t="inlineStr">
        <is>
          <t>Slow</t>
        </is>
      </c>
      <c r="M71" t="inlineStr">
        <is>
          <t>A</t>
        </is>
      </c>
    </row>
    <row r="72">
      <c r="A72" t="inlineStr">
        <is>
          <t>S004-P0017</t>
        </is>
      </c>
      <c r="B72" t="inlineStr">
        <is>
          <t>S004</t>
        </is>
      </c>
      <c r="C72" t="inlineStr">
        <is>
          <t>P0017</t>
        </is>
      </c>
      <c r="D72" t="inlineStr">
        <is>
          <t>Electronics</t>
        </is>
      </c>
      <c r="E72" t="n">
        <v>99123</v>
      </c>
      <c r="F72" t="n">
        <v>135.6</v>
      </c>
      <c r="G72" t="n">
        <v>271.99</v>
      </c>
      <c r="H72" t="n">
        <v>54.87</v>
      </c>
      <c r="I72" t="n">
        <v>5366234.42</v>
      </c>
      <c r="J72" t="n">
        <v>364.44</v>
      </c>
      <c r="K72" t="n">
        <v>2.01</v>
      </c>
      <c r="L72" t="inlineStr">
        <is>
          <t>Medium</t>
        </is>
      </c>
      <c r="M72" t="inlineStr">
        <is>
          <t>A</t>
        </is>
      </c>
    </row>
    <row r="73">
      <c r="A73" t="inlineStr">
        <is>
          <t>S001-P0016</t>
        </is>
      </c>
      <c r="B73" t="inlineStr">
        <is>
          <t>S001</t>
        </is>
      </c>
      <c r="C73" t="inlineStr">
        <is>
          <t>P0016</t>
        </is>
      </c>
      <c r="D73" t="inlineStr">
        <is>
          <t>Electronics</t>
        </is>
      </c>
      <c r="E73" t="n">
        <v>97174</v>
      </c>
      <c r="F73" t="n">
        <v>132.93</v>
      </c>
      <c r="G73" t="n">
        <v>265.39</v>
      </c>
      <c r="H73" t="n">
        <v>55.88</v>
      </c>
      <c r="I73" t="n">
        <v>5364234.84</v>
      </c>
      <c r="J73" t="n">
        <v>366.15</v>
      </c>
      <c r="K73" t="n">
        <v>2</v>
      </c>
      <c r="L73" t="inlineStr">
        <is>
          <t>Medium</t>
        </is>
      </c>
      <c r="M73" t="inlineStr">
        <is>
          <t>A</t>
        </is>
      </c>
    </row>
    <row r="74">
      <c r="A74" t="inlineStr">
        <is>
          <t>S001-P0009</t>
        </is>
      </c>
      <c r="B74" t="inlineStr">
        <is>
          <t>S001</t>
        </is>
      </c>
      <c r="C74" t="inlineStr">
        <is>
          <t>P0009</t>
        </is>
      </c>
      <c r="D74" t="inlineStr">
        <is>
          <t>Electronics</t>
        </is>
      </c>
      <c r="E74" t="n">
        <v>96080</v>
      </c>
      <c r="F74" t="n">
        <v>131.44</v>
      </c>
      <c r="G74" t="n">
        <v>270.53</v>
      </c>
      <c r="H74" t="n">
        <v>55.4</v>
      </c>
      <c r="I74" t="n">
        <v>5361892.65</v>
      </c>
      <c r="J74" t="n">
        <v>355.16</v>
      </c>
      <c r="K74" t="n">
        <v>2.06</v>
      </c>
      <c r="L74" t="inlineStr">
        <is>
          <t>Slow</t>
        </is>
      </c>
      <c r="M74" t="inlineStr">
        <is>
          <t>A</t>
        </is>
      </c>
    </row>
    <row r="75">
      <c r="A75" t="inlineStr">
        <is>
          <t>S004-P0020</t>
        </is>
      </c>
      <c r="B75" t="inlineStr">
        <is>
          <t>S004</t>
        </is>
      </c>
      <c r="C75" t="inlineStr">
        <is>
          <t>P0020</t>
        </is>
      </c>
      <c r="D75" t="inlineStr">
        <is>
          <t>Clothing</t>
        </is>
      </c>
      <c r="E75" t="n">
        <v>99299</v>
      </c>
      <c r="F75" t="n">
        <v>135.84</v>
      </c>
      <c r="G75" t="n">
        <v>275.11</v>
      </c>
      <c r="H75" t="n">
        <v>54.34</v>
      </c>
      <c r="I75" t="n">
        <v>5359049.61</v>
      </c>
      <c r="J75" t="n">
        <v>360.95</v>
      </c>
      <c r="K75" t="n">
        <v>2.03</v>
      </c>
      <c r="L75" t="inlineStr">
        <is>
          <t>Medium</t>
        </is>
      </c>
      <c r="M75" t="inlineStr">
        <is>
          <t>A</t>
        </is>
      </c>
    </row>
    <row r="76">
      <c r="A76" t="inlineStr">
        <is>
          <t>S004-P0013</t>
        </is>
      </c>
      <c r="B76" t="inlineStr">
        <is>
          <t>S004</t>
        </is>
      </c>
      <c r="C76" t="inlineStr">
        <is>
          <t>P0013</t>
        </is>
      </c>
      <c r="D76" t="inlineStr">
        <is>
          <t>Furniture</t>
        </is>
      </c>
      <c r="E76" t="n">
        <v>96049</v>
      </c>
      <c r="F76" t="n">
        <v>131.39</v>
      </c>
      <c r="G76" t="n">
        <v>265.21</v>
      </c>
      <c r="H76" t="n">
        <v>54.3</v>
      </c>
      <c r="I76" t="n">
        <v>5338089.51</v>
      </c>
      <c r="J76" t="n">
        <v>362.17</v>
      </c>
      <c r="K76" t="n">
        <v>2.02</v>
      </c>
      <c r="L76" t="inlineStr">
        <is>
          <t>Slow</t>
        </is>
      </c>
      <c r="M76" t="inlineStr">
        <is>
          <t>A</t>
        </is>
      </c>
    </row>
    <row r="77">
      <c r="A77" t="inlineStr">
        <is>
          <t>S003-P0008</t>
        </is>
      </c>
      <c r="B77" t="inlineStr">
        <is>
          <t>S003</t>
        </is>
      </c>
      <c r="C77" t="inlineStr">
        <is>
          <t>P0008</t>
        </is>
      </c>
      <c r="D77" t="inlineStr">
        <is>
          <t>Toys</t>
        </is>
      </c>
      <c r="E77" t="n">
        <v>97864</v>
      </c>
      <c r="F77" t="n">
        <v>133.88</v>
      </c>
      <c r="G77" t="n">
        <v>277.19</v>
      </c>
      <c r="H77" t="n">
        <v>54.29</v>
      </c>
      <c r="I77" t="n">
        <v>5330469.17</v>
      </c>
      <c r="J77" t="n">
        <v>353.06</v>
      </c>
      <c r="K77" t="n">
        <v>2.07</v>
      </c>
      <c r="L77" t="inlineStr">
        <is>
          <t>Medium</t>
        </is>
      </c>
      <c r="M77" t="inlineStr">
        <is>
          <t>A</t>
        </is>
      </c>
    </row>
    <row r="78">
      <c r="A78" t="inlineStr">
        <is>
          <t>S001-P0019</t>
        </is>
      </c>
      <c r="B78" t="inlineStr">
        <is>
          <t>S001</t>
        </is>
      </c>
      <c r="C78" t="inlineStr">
        <is>
          <t>P0019</t>
        </is>
      </c>
      <c r="D78" t="inlineStr">
        <is>
          <t>Clothing</t>
        </is>
      </c>
      <c r="E78" t="n">
        <v>98488</v>
      </c>
      <c r="F78" t="n">
        <v>134.73</v>
      </c>
      <c r="G78" t="n">
        <v>277.14</v>
      </c>
      <c r="H78" t="n">
        <v>55.12</v>
      </c>
      <c r="I78" t="n">
        <v>5315010.97</v>
      </c>
      <c r="J78" t="n">
        <v>355.37</v>
      </c>
      <c r="K78" t="n">
        <v>2.06</v>
      </c>
      <c r="L78" t="inlineStr">
        <is>
          <t>Medium</t>
        </is>
      </c>
      <c r="M78" t="inlineStr">
        <is>
          <t>A</t>
        </is>
      </c>
    </row>
    <row r="79">
      <c r="A79" t="inlineStr">
        <is>
          <t>S004-P0009</t>
        </is>
      </c>
      <c r="B79" t="inlineStr">
        <is>
          <t>S004</t>
        </is>
      </c>
      <c r="C79" t="inlineStr">
        <is>
          <t>P0009</t>
        </is>
      </c>
      <c r="D79" t="inlineStr">
        <is>
          <t>Furniture</t>
        </is>
      </c>
      <c r="E79" t="n">
        <v>98390</v>
      </c>
      <c r="F79" t="n">
        <v>134.6</v>
      </c>
      <c r="G79" t="n">
        <v>270.73</v>
      </c>
      <c r="H79" t="n">
        <v>55.33</v>
      </c>
      <c r="I79" t="n">
        <v>5313389.07</v>
      </c>
      <c r="J79" t="n">
        <v>363.42</v>
      </c>
      <c r="K79" t="n">
        <v>2.01</v>
      </c>
      <c r="L79" t="inlineStr">
        <is>
          <t>Medium</t>
        </is>
      </c>
      <c r="M79" t="inlineStr">
        <is>
          <t>A</t>
        </is>
      </c>
    </row>
    <row r="80">
      <c r="A80" t="inlineStr">
        <is>
          <t>S001-P0005</t>
        </is>
      </c>
      <c r="B80" t="inlineStr">
        <is>
          <t>S001</t>
        </is>
      </c>
      <c r="C80" t="inlineStr">
        <is>
          <t>P0005</t>
        </is>
      </c>
      <c r="D80" t="inlineStr">
        <is>
          <t>Electronics</t>
        </is>
      </c>
      <c r="E80" t="n">
        <v>97318</v>
      </c>
      <c r="F80" t="n">
        <v>133.13</v>
      </c>
      <c r="G80" t="n">
        <v>269.33</v>
      </c>
      <c r="H80" t="n">
        <v>53.89</v>
      </c>
      <c r="I80" t="n">
        <v>5312215.96</v>
      </c>
      <c r="J80" t="n">
        <v>361.34</v>
      </c>
      <c r="K80" t="n">
        <v>2.02</v>
      </c>
      <c r="L80" t="inlineStr">
        <is>
          <t>Medium</t>
        </is>
      </c>
      <c r="M80" t="inlineStr">
        <is>
          <t>A</t>
        </is>
      </c>
    </row>
    <row r="81">
      <c r="A81" t="inlineStr">
        <is>
          <t>S001-P0013</t>
        </is>
      </c>
      <c r="B81" t="inlineStr">
        <is>
          <t>S001</t>
        </is>
      </c>
      <c r="C81" t="inlineStr">
        <is>
          <t>P0013</t>
        </is>
      </c>
      <c r="D81" t="inlineStr">
        <is>
          <t>Toys</t>
        </is>
      </c>
      <c r="E81" t="n">
        <v>97131</v>
      </c>
      <c r="F81" t="n">
        <v>132.87</v>
      </c>
      <c r="G81" t="n">
        <v>263.73</v>
      </c>
      <c r="H81" t="n">
        <v>54.8</v>
      </c>
      <c r="I81" t="n">
        <v>5299600.13</v>
      </c>
      <c r="J81" t="n">
        <v>368.3</v>
      </c>
      <c r="K81" t="n">
        <v>1.98</v>
      </c>
      <c r="L81" t="inlineStr">
        <is>
          <t>Slow</t>
        </is>
      </c>
      <c r="M81" t="inlineStr">
        <is>
          <t>B</t>
        </is>
      </c>
    </row>
    <row r="82">
      <c r="A82" t="inlineStr">
        <is>
          <t>S004-P0003</t>
        </is>
      </c>
      <c r="B82" t="inlineStr">
        <is>
          <t>S004</t>
        </is>
      </c>
      <c r="C82" t="inlineStr">
        <is>
          <t>P0003</t>
        </is>
      </c>
      <c r="D82" t="inlineStr">
        <is>
          <t>Clothing</t>
        </is>
      </c>
      <c r="E82" t="n">
        <v>94436</v>
      </c>
      <c r="F82" t="n">
        <v>129.19</v>
      </c>
      <c r="G82" t="n">
        <v>272.02</v>
      </c>
      <c r="H82" t="n">
        <v>54.9</v>
      </c>
      <c r="I82" t="n">
        <v>5299095.21</v>
      </c>
      <c r="J82" t="n">
        <v>347.16</v>
      </c>
      <c r="K82" t="n">
        <v>2.11</v>
      </c>
      <c r="L82" t="inlineStr">
        <is>
          <t>Slow</t>
        </is>
      </c>
      <c r="M82" t="inlineStr">
        <is>
          <t>B</t>
        </is>
      </c>
    </row>
    <row r="83">
      <c r="A83" t="inlineStr">
        <is>
          <t>S003-P0018</t>
        </is>
      </c>
      <c r="B83" t="inlineStr">
        <is>
          <t>S003</t>
        </is>
      </c>
      <c r="C83" t="inlineStr">
        <is>
          <t>P0018</t>
        </is>
      </c>
      <c r="D83" t="inlineStr">
        <is>
          <t>Toys</t>
        </is>
      </c>
      <c r="E83" t="n">
        <v>96507</v>
      </c>
      <c r="F83" t="n">
        <v>132.02</v>
      </c>
      <c r="G83" t="n">
        <v>269.78</v>
      </c>
      <c r="H83" t="n">
        <v>54.8</v>
      </c>
      <c r="I83" t="n">
        <v>5296673.95</v>
      </c>
      <c r="J83" t="n">
        <v>357.72</v>
      </c>
      <c r="K83" t="n">
        <v>2.04</v>
      </c>
      <c r="L83" t="inlineStr">
        <is>
          <t>Slow</t>
        </is>
      </c>
      <c r="M83" t="inlineStr">
        <is>
          <t>B</t>
        </is>
      </c>
    </row>
    <row r="84">
      <c r="A84" t="inlineStr">
        <is>
          <t>S002-P0008</t>
        </is>
      </c>
      <c r="B84" t="inlineStr">
        <is>
          <t>S002</t>
        </is>
      </c>
      <c r="C84" t="inlineStr">
        <is>
          <t>P0008</t>
        </is>
      </c>
      <c r="D84" t="inlineStr">
        <is>
          <t>Electronics</t>
        </is>
      </c>
      <c r="E84" t="n">
        <v>94225</v>
      </c>
      <c r="F84" t="n">
        <v>128.9</v>
      </c>
      <c r="G84" t="n">
        <v>268.77</v>
      </c>
      <c r="H84" t="n">
        <v>55.96</v>
      </c>
      <c r="I84" t="n">
        <v>5293212.26</v>
      </c>
      <c r="J84" t="n">
        <v>350.58</v>
      </c>
      <c r="K84" t="n">
        <v>2.09</v>
      </c>
      <c r="L84" t="inlineStr">
        <is>
          <t>Slow</t>
        </is>
      </c>
      <c r="M84" t="inlineStr">
        <is>
          <t>B</t>
        </is>
      </c>
    </row>
    <row r="85">
      <c r="A85" t="inlineStr">
        <is>
          <t>S002-P0015</t>
        </is>
      </c>
      <c r="B85" t="inlineStr">
        <is>
          <t>S002</t>
        </is>
      </c>
      <c r="C85" t="inlineStr">
        <is>
          <t>P0015</t>
        </is>
      </c>
      <c r="D85" t="inlineStr">
        <is>
          <t>Toys</t>
        </is>
      </c>
      <c r="E85" t="n">
        <v>95606</v>
      </c>
      <c r="F85" t="n">
        <v>130.79</v>
      </c>
      <c r="G85" t="n">
        <v>269.69</v>
      </c>
      <c r="H85" t="n">
        <v>54.9</v>
      </c>
      <c r="I85" t="n">
        <v>5290330.44</v>
      </c>
      <c r="J85" t="n">
        <v>354.51</v>
      </c>
      <c r="K85" t="n">
        <v>2.06</v>
      </c>
      <c r="L85" t="inlineStr">
        <is>
          <t>Slow</t>
        </is>
      </c>
      <c r="M85" t="inlineStr">
        <is>
          <t>B</t>
        </is>
      </c>
    </row>
    <row r="86">
      <c r="A86" t="inlineStr">
        <is>
          <t>S001-P0002</t>
        </is>
      </c>
      <c r="B86" t="inlineStr">
        <is>
          <t>S001</t>
        </is>
      </c>
      <c r="C86" t="inlineStr">
        <is>
          <t>P0002</t>
        </is>
      </c>
      <c r="D86" t="inlineStr">
        <is>
          <t>Toys</t>
        </is>
      </c>
      <c r="E86" t="n">
        <v>95789</v>
      </c>
      <c r="F86" t="n">
        <v>131.04</v>
      </c>
      <c r="G86" t="n">
        <v>272.66</v>
      </c>
      <c r="H86" t="n">
        <v>55.45</v>
      </c>
      <c r="I86" t="n">
        <v>5286313.58</v>
      </c>
      <c r="J86" t="n">
        <v>351.31</v>
      </c>
      <c r="K86" t="n">
        <v>2.08</v>
      </c>
      <c r="L86" t="inlineStr">
        <is>
          <t>Slow</t>
        </is>
      </c>
      <c r="M86" t="inlineStr">
        <is>
          <t>B</t>
        </is>
      </c>
    </row>
    <row r="87">
      <c r="A87" t="inlineStr">
        <is>
          <t>S003-P0001</t>
        </is>
      </c>
      <c r="B87" t="inlineStr">
        <is>
          <t>S003</t>
        </is>
      </c>
      <c r="C87" t="inlineStr">
        <is>
          <t>P0001</t>
        </is>
      </c>
      <c r="D87" t="inlineStr">
        <is>
          <t>Toys</t>
        </is>
      </c>
      <c r="E87" t="n">
        <v>94620</v>
      </c>
      <c r="F87" t="n">
        <v>129.44</v>
      </c>
      <c r="G87" t="n">
        <v>274.68</v>
      </c>
      <c r="H87" t="n">
        <v>56.08</v>
      </c>
      <c r="I87" t="n">
        <v>5273767.62</v>
      </c>
      <c r="J87" t="n">
        <v>344.47</v>
      </c>
      <c r="K87" t="n">
        <v>2.12</v>
      </c>
      <c r="L87" t="inlineStr">
        <is>
          <t>Slow</t>
        </is>
      </c>
      <c r="M87" t="inlineStr">
        <is>
          <t>B</t>
        </is>
      </c>
    </row>
    <row r="88">
      <c r="A88" t="inlineStr">
        <is>
          <t>S002-P0002</t>
        </is>
      </c>
      <c r="B88" t="inlineStr">
        <is>
          <t>S002</t>
        </is>
      </c>
      <c r="C88" t="inlineStr">
        <is>
          <t>P0002</t>
        </is>
      </c>
      <c r="D88" t="inlineStr">
        <is>
          <t>Clothing</t>
        </is>
      </c>
      <c r="E88" t="n">
        <v>94143</v>
      </c>
      <c r="F88" t="n">
        <v>128.79</v>
      </c>
      <c r="G88" t="n">
        <v>266.43</v>
      </c>
      <c r="H88" t="n">
        <v>56.04</v>
      </c>
      <c r="I88" t="n">
        <v>5271682.08</v>
      </c>
      <c r="J88" t="n">
        <v>353.36</v>
      </c>
      <c r="K88" t="n">
        <v>2.07</v>
      </c>
      <c r="L88" t="inlineStr">
        <is>
          <t>Slow</t>
        </is>
      </c>
      <c r="M88" t="inlineStr">
        <is>
          <t>B</t>
        </is>
      </c>
    </row>
    <row r="89">
      <c r="A89" t="inlineStr">
        <is>
          <t>S002-P0010</t>
        </is>
      </c>
      <c r="B89" t="inlineStr">
        <is>
          <t>S002</t>
        </is>
      </c>
      <c r="C89" t="inlineStr">
        <is>
          <t>P0010</t>
        </is>
      </c>
      <c r="D89" t="inlineStr">
        <is>
          <t>Electronics</t>
        </is>
      </c>
      <c r="E89" t="n">
        <v>99012</v>
      </c>
      <c r="F89" t="n">
        <v>135.45</v>
      </c>
      <c r="G89" t="n">
        <v>272.55</v>
      </c>
      <c r="H89" t="n">
        <v>54.85</v>
      </c>
      <c r="I89" t="n">
        <v>5270108.97</v>
      </c>
      <c r="J89" t="n">
        <v>363.28</v>
      </c>
      <c r="K89" t="n">
        <v>2.01</v>
      </c>
      <c r="L89" t="inlineStr">
        <is>
          <t>Medium</t>
        </is>
      </c>
      <c r="M89" t="inlineStr">
        <is>
          <t>B</t>
        </is>
      </c>
    </row>
    <row r="90">
      <c r="A90" t="inlineStr">
        <is>
          <t>S002-P0019</t>
        </is>
      </c>
      <c r="B90" t="inlineStr">
        <is>
          <t>S002</t>
        </is>
      </c>
      <c r="C90" t="inlineStr">
        <is>
          <t>P0019</t>
        </is>
      </c>
      <c r="D90" t="inlineStr">
        <is>
          <t>Toys</t>
        </is>
      </c>
      <c r="E90" t="n">
        <v>96365</v>
      </c>
      <c r="F90" t="n">
        <v>131.83</v>
      </c>
      <c r="G90" t="n">
        <v>267.1</v>
      </c>
      <c r="H90" t="n">
        <v>54.49</v>
      </c>
      <c r="I90" t="n">
        <v>5262626.53</v>
      </c>
      <c r="J90" t="n">
        <v>360.78</v>
      </c>
      <c r="K90" t="n">
        <v>2.03</v>
      </c>
      <c r="L90" t="inlineStr">
        <is>
          <t>Slow</t>
        </is>
      </c>
      <c r="M90" t="inlineStr">
        <is>
          <t>B</t>
        </is>
      </c>
    </row>
    <row r="91">
      <c r="A91" t="inlineStr">
        <is>
          <t>S004-P0002</t>
        </is>
      </c>
      <c r="B91" t="inlineStr">
        <is>
          <t>S004</t>
        </is>
      </c>
      <c r="C91" t="inlineStr">
        <is>
          <t>P0002</t>
        </is>
      </c>
      <c r="D91" t="inlineStr">
        <is>
          <t>Clothing</t>
        </is>
      </c>
      <c r="E91" t="n">
        <v>95358</v>
      </c>
      <c r="F91" t="n">
        <v>130.45</v>
      </c>
      <c r="G91" t="n">
        <v>269.37</v>
      </c>
      <c r="H91" t="n">
        <v>56.29</v>
      </c>
      <c r="I91" t="n">
        <v>5251276.5</v>
      </c>
      <c r="J91" t="n">
        <v>354</v>
      </c>
      <c r="K91" t="n">
        <v>2.06</v>
      </c>
      <c r="L91" t="inlineStr">
        <is>
          <t>Slow</t>
        </is>
      </c>
      <c r="M91" t="inlineStr">
        <is>
          <t>B</t>
        </is>
      </c>
    </row>
    <row r="92">
      <c r="A92" t="inlineStr">
        <is>
          <t>S002-P0003</t>
        </is>
      </c>
      <c r="B92" t="inlineStr">
        <is>
          <t>S002</t>
        </is>
      </c>
      <c r="C92" t="inlineStr">
        <is>
          <t>P0003</t>
        </is>
      </c>
      <c r="D92" t="inlineStr">
        <is>
          <t>Furniture</t>
        </is>
      </c>
      <c r="E92" t="n">
        <v>97227</v>
      </c>
      <c r="F92" t="n">
        <v>133.01</v>
      </c>
      <c r="G92" t="n">
        <v>273.9</v>
      </c>
      <c r="H92" t="n">
        <v>55.01</v>
      </c>
      <c r="I92" t="n">
        <v>5246035.08</v>
      </c>
      <c r="J92" t="n">
        <v>354.98</v>
      </c>
      <c r="K92" t="n">
        <v>2.06</v>
      </c>
      <c r="L92" t="inlineStr">
        <is>
          <t>Medium</t>
        </is>
      </c>
      <c r="M92" t="inlineStr">
        <is>
          <t>B</t>
        </is>
      </c>
    </row>
    <row r="93">
      <c r="A93" t="inlineStr">
        <is>
          <t>S002-P0006</t>
        </is>
      </c>
      <c r="B93" t="inlineStr">
        <is>
          <t>S002</t>
        </is>
      </c>
      <c r="C93" t="inlineStr">
        <is>
          <t>P0006</t>
        </is>
      </c>
      <c r="D93" t="inlineStr">
        <is>
          <t>Furniture</t>
        </is>
      </c>
      <c r="E93" t="n">
        <v>97418</v>
      </c>
      <c r="F93" t="n">
        <v>133.27</v>
      </c>
      <c r="G93" t="n">
        <v>270.12</v>
      </c>
      <c r="H93" t="n">
        <v>54.18</v>
      </c>
      <c r="I93" t="n">
        <v>5233782.8</v>
      </c>
      <c r="J93" t="n">
        <v>360.64</v>
      </c>
      <c r="K93" t="n">
        <v>2.03</v>
      </c>
      <c r="L93" t="inlineStr">
        <is>
          <t>Medium</t>
        </is>
      </c>
      <c r="M93" t="inlineStr">
        <is>
          <t>B</t>
        </is>
      </c>
    </row>
    <row r="94">
      <c r="A94" t="inlineStr">
        <is>
          <t>S001-P0006</t>
        </is>
      </c>
      <c r="B94" t="inlineStr">
        <is>
          <t>S001</t>
        </is>
      </c>
      <c r="C94" t="inlineStr">
        <is>
          <t>P0006</t>
        </is>
      </c>
      <c r="D94" t="inlineStr">
        <is>
          <t>Groceries</t>
        </is>
      </c>
      <c r="E94" t="n">
        <v>95522</v>
      </c>
      <c r="F94" t="n">
        <v>130.67</v>
      </c>
      <c r="G94" t="n">
        <v>272.95</v>
      </c>
      <c r="H94" t="n">
        <v>55.29</v>
      </c>
      <c r="I94" t="n">
        <v>5215678.21</v>
      </c>
      <c r="J94" t="n">
        <v>349.96</v>
      </c>
      <c r="K94" t="n">
        <v>2.09</v>
      </c>
      <c r="L94" t="inlineStr">
        <is>
          <t>Slow</t>
        </is>
      </c>
      <c r="M94" t="inlineStr">
        <is>
          <t>B</t>
        </is>
      </c>
    </row>
    <row r="95">
      <c r="A95" t="inlineStr">
        <is>
          <t>S001-P0011</t>
        </is>
      </c>
      <c r="B95" t="inlineStr">
        <is>
          <t>S001</t>
        </is>
      </c>
      <c r="C95" t="inlineStr">
        <is>
          <t>P0011</t>
        </is>
      </c>
      <c r="D95" t="inlineStr">
        <is>
          <t>Furniture</t>
        </is>
      </c>
      <c r="E95" t="n">
        <v>96852</v>
      </c>
      <c r="F95" t="n">
        <v>132.49</v>
      </c>
      <c r="G95" t="n">
        <v>269.19</v>
      </c>
      <c r="H95" t="n">
        <v>54.38</v>
      </c>
      <c r="I95" t="n">
        <v>5208767.75</v>
      </c>
      <c r="J95" t="n">
        <v>359.78</v>
      </c>
      <c r="K95" t="n">
        <v>2.03</v>
      </c>
      <c r="L95" t="inlineStr">
        <is>
          <t>Slow</t>
        </is>
      </c>
      <c r="M95" t="inlineStr">
        <is>
          <t>B</t>
        </is>
      </c>
    </row>
    <row r="96">
      <c r="A96" t="inlineStr">
        <is>
          <t>S002-P0017</t>
        </is>
      </c>
      <c r="B96" t="inlineStr">
        <is>
          <t>S002</t>
        </is>
      </c>
      <c r="C96" t="inlineStr">
        <is>
          <t>P0017</t>
        </is>
      </c>
      <c r="D96" t="inlineStr">
        <is>
          <t>Groceries</t>
        </is>
      </c>
      <c r="E96" t="n">
        <v>96719</v>
      </c>
      <c r="F96" t="n">
        <v>132.31</v>
      </c>
      <c r="G96" t="n">
        <v>274.21</v>
      </c>
      <c r="H96" t="n">
        <v>53.28</v>
      </c>
      <c r="I96" t="n">
        <v>5197982.57</v>
      </c>
      <c r="J96" t="n">
        <v>352.71</v>
      </c>
      <c r="K96" t="n">
        <v>2.07</v>
      </c>
      <c r="L96" t="inlineStr">
        <is>
          <t>Slow</t>
        </is>
      </c>
      <c r="M96" t="inlineStr">
        <is>
          <t>B</t>
        </is>
      </c>
    </row>
    <row r="97">
      <c r="A97" t="inlineStr">
        <is>
          <t>S005-P0001</t>
        </is>
      </c>
      <c r="B97" t="inlineStr">
        <is>
          <t>S005</t>
        </is>
      </c>
      <c r="C97" t="inlineStr">
        <is>
          <t>P0001</t>
        </is>
      </c>
      <c r="D97" t="inlineStr">
        <is>
          <t>Toys</t>
        </is>
      </c>
      <c r="E97" t="n">
        <v>95801</v>
      </c>
      <c r="F97" t="n">
        <v>131.05</v>
      </c>
      <c r="G97" t="n">
        <v>268.33</v>
      </c>
      <c r="H97" t="n">
        <v>53.21</v>
      </c>
      <c r="I97" t="n">
        <v>5191853.76</v>
      </c>
      <c r="J97" t="n">
        <v>357.02</v>
      </c>
      <c r="K97" t="n">
        <v>2.05</v>
      </c>
      <c r="L97" t="inlineStr">
        <is>
          <t>Slow</t>
        </is>
      </c>
      <c r="M97" t="inlineStr">
        <is>
          <t>C</t>
        </is>
      </c>
    </row>
    <row r="98">
      <c r="A98" t="inlineStr">
        <is>
          <t>S004-P0007</t>
        </is>
      </c>
      <c r="B98" t="inlineStr">
        <is>
          <t>S004</t>
        </is>
      </c>
      <c r="C98" t="inlineStr">
        <is>
          <t>P0007</t>
        </is>
      </c>
      <c r="D98" t="inlineStr">
        <is>
          <t>Electronics</t>
        </is>
      </c>
      <c r="E98" t="n">
        <v>95309</v>
      </c>
      <c r="F98" t="n">
        <v>130.38</v>
      </c>
      <c r="G98" t="n">
        <v>262.13</v>
      </c>
      <c r="H98" t="n">
        <v>54.06</v>
      </c>
      <c r="I98" t="n">
        <v>5182985.59</v>
      </c>
      <c r="J98" t="n">
        <v>363.6</v>
      </c>
      <c r="K98" t="n">
        <v>2.01</v>
      </c>
      <c r="L98" t="inlineStr">
        <is>
          <t>Slow</t>
        </is>
      </c>
      <c r="M98" t="inlineStr">
        <is>
          <t>C</t>
        </is>
      </c>
    </row>
    <row r="99">
      <c r="A99" t="inlineStr">
        <is>
          <t>S004-P0018</t>
        </is>
      </c>
      <c r="B99" t="inlineStr">
        <is>
          <t>S004</t>
        </is>
      </c>
      <c r="C99" t="inlineStr">
        <is>
          <t>P0018</t>
        </is>
      </c>
      <c r="D99" t="inlineStr">
        <is>
          <t>Groceries</t>
        </is>
      </c>
      <c r="E99" t="n">
        <v>94023</v>
      </c>
      <c r="F99" t="n">
        <v>128.62</v>
      </c>
      <c r="G99" t="n">
        <v>267.56</v>
      </c>
      <c r="H99" t="n">
        <v>54.6</v>
      </c>
      <c r="I99" t="n">
        <v>5165452.83</v>
      </c>
      <c r="J99" t="n">
        <v>351.41</v>
      </c>
      <c r="K99" t="n">
        <v>2.08</v>
      </c>
      <c r="L99" t="inlineStr">
        <is>
          <t>Slow</t>
        </is>
      </c>
      <c r="M99" t="inlineStr">
        <is>
          <t>C</t>
        </is>
      </c>
    </row>
    <row r="100">
      <c r="A100" t="inlineStr">
        <is>
          <t>S003-P0003</t>
        </is>
      </c>
      <c r="B100" t="inlineStr">
        <is>
          <t>S003</t>
        </is>
      </c>
      <c r="C100" t="inlineStr">
        <is>
          <t>P0003</t>
        </is>
      </c>
      <c r="D100" t="inlineStr">
        <is>
          <t>Groceries</t>
        </is>
      </c>
      <c r="E100" t="n">
        <v>92556</v>
      </c>
      <c r="F100" t="n">
        <v>126.62</v>
      </c>
      <c r="G100" t="n">
        <v>270.21</v>
      </c>
      <c r="H100" t="n">
        <v>55.43</v>
      </c>
      <c r="I100" t="n">
        <v>5154268.24</v>
      </c>
      <c r="J100" t="n">
        <v>342.54</v>
      </c>
      <c r="K100" t="n">
        <v>2.13</v>
      </c>
      <c r="L100" t="inlineStr">
        <is>
          <t>Slow</t>
        </is>
      </c>
      <c r="M100" t="inlineStr">
        <is>
          <t>C</t>
        </is>
      </c>
    </row>
    <row r="101">
      <c r="A101" t="inlineStr">
        <is>
          <t>S001-P0012</t>
        </is>
      </c>
      <c r="B101" t="inlineStr">
        <is>
          <t>S001</t>
        </is>
      </c>
      <c r="C101" t="inlineStr">
        <is>
          <t>P0012</t>
        </is>
      </c>
      <c r="D101" t="inlineStr">
        <is>
          <t>Clothing</t>
        </is>
      </c>
      <c r="E101" t="n">
        <v>93854</v>
      </c>
      <c r="F101" t="n">
        <v>128.39</v>
      </c>
      <c r="G101" t="n">
        <v>266.76</v>
      </c>
      <c r="H101" t="n">
        <v>54.04</v>
      </c>
      <c r="I101" t="n">
        <v>4973537.72</v>
      </c>
      <c r="J101" t="n">
        <v>351.82</v>
      </c>
      <c r="K101" t="n">
        <v>2.08</v>
      </c>
      <c r="L101" t="inlineStr">
        <is>
          <t>Slow</t>
        </is>
      </c>
      <c r="M101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best_window</t>
        </is>
      </c>
      <c r="C1" s="3" t="inlineStr">
        <is>
          <t>wape</t>
        </is>
      </c>
      <c r="D1" s="3" t="inlineStr">
        <is>
          <t>naive_wape</t>
        </is>
      </c>
      <c r="E1" s="3" t="inlineStr">
        <is>
          <t>forecast_daily</t>
        </is>
      </c>
    </row>
    <row r="2">
      <c r="A2" t="inlineStr">
        <is>
          <t>S001-P0001</t>
        </is>
      </c>
      <c r="B2" t="n">
        <v>28</v>
      </c>
      <c r="C2" t="n">
        <v>0.5815</v>
      </c>
      <c r="D2" t="n">
        <v>0.7145</v>
      </c>
      <c r="E2" t="n">
        <v>128.71</v>
      </c>
    </row>
    <row r="3">
      <c r="A3" t="inlineStr">
        <is>
          <t>S001-P0002</t>
        </is>
      </c>
      <c r="B3" t="n">
        <v>14</v>
      </c>
      <c r="C3" t="n">
        <v>0.7634</v>
      </c>
      <c r="D3" t="n">
        <v>0.9296</v>
      </c>
      <c r="E3" t="n">
        <v>116.36</v>
      </c>
    </row>
    <row r="4">
      <c r="A4" t="inlineStr">
        <is>
          <t>S001-P0003</t>
        </is>
      </c>
      <c r="B4" t="n">
        <v>28</v>
      </c>
      <c r="C4" t="n">
        <v>0.6743</v>
      </c>
      <c r="D4" t="n">
        <v>0.9049</v>
      </c>
      <c r="E4" t="n">
        <v>137.14</v>
      </c>
    </row>
    <row r="5">
      <c r="A5" t="inlineStr">
        <is>
          <t>S001-P0004</t>
        </is>
      </c>
      <c r="B5" t="n">
        <v>7</v>
      </c>
      <c r="C5" t="n">
        <v>0.5935</v>
      </c>
      <c r="D5" t="n">
        <v>0.7226</v>
      </c>
      <c r="E5" t="n">
        <v>172</v>
      </c>
    </row>
    <row r="6">
      <c r="A6" t="inlineStr">
        <is>
          <t>S001-P0005</t>
        </is>
      </c>
      <c r="B6" t="n">
        <v>14</v>
      </c>
      <c r="C6" t="n">
        <v>0.6052</v>
      </c>
      <c r="D6" t="n">
        <v>0.9182</v>
      </c>
      <c r="E6" t="n">
        <v>172.07</v>
      </c>
    </row>
    <row r="7">
      <c r="A7" t="inlineStr">
        <is>
          <t>S001-P0006</t>
        </is>
      </c>
      <c r="B7" t="n">
        <v>28</v>
      </c>
      <c r="C7" t="n">
        <v>0.7422</v>
      </c>
      <c r="D7" t="n">
        <v>1.0813</v>
      </c>
      <c r="E7" t="n">
        <v>105.82</v>
      </c>
    </row>
    <row r="8">
      <c r="A8" t="inlineStr">
        <is>
          <t>S001-P0007</t>
        </is>
      </c>
      <c r="B8" t="n">
        <v>28</v>
      </c>
      <c r="C8" t="n">
        <v>0.6124000000000001</v>
      </c>
      <c r="D8" t="n">
        <v>0.9897</v>
      </c>
      <c r="E8" t="n">
        <v>153.07</v>
      </c>
    </row>
    <row r="9">
      <c r="A9" t="inlineStr">
        <is>
          <t>S001-P0008</t>
        </is>
      </c>
      <c r="B9" t="n">
        <v>14</v>
      </c>
      <c r="C9" t="n">
        <v>0.5683</v>
      </c>
      <c r="D9" t="n">
        <v>0.6572</v>
      </c>
      <c r="E9" t="n">
        <v>151.93</v>
      </c>
    </row>
    <row r="10">
      <c r="A10" t="inlineStr">
        <is>
          <t>S001-P0009</t>
        </is>
      </c>
      <c r="B10" t="n">
        <v>7</v>
      </c>
      <c r="C10" t="n">
        <v>0.4496</v>
      </c>
      <c r="D10" t="n">
        <v>0.544</v>
      </c>
      <c r="E10" t="n">
        <v>109.29</v>
      </c>
    </row>
    <row r="11">
      <c r="A11" t="inlineStr">
        <is>
          <t>S001-P0010</t>
        </is>
      </c>
      <c r="B11" t="n">
        <v>28</v>
      </c>
      <c r="C11" t="n">
        <v>0.7171</v>
      </c>
      <c r="D11" t="n">
        <v>0.9059</v>
      </c>
      <c r="E11" t="n">
        <v>124.82</v>
      </c>
    </row>
    <row r="12">
      <c r="A12" t="inlineStr">
        <is>
          <t>S001-P0011</t>
        </is>
      </c>
      <c r="B12" t="n">
        <v>28</v>
      </c>
      <c r="C12" t="n">
        <v>0.5605</v>
      </c>
      <c r="D12" t="n">
        <v>0.7161</v>
      </c>
      <c r="E12" t="n">
        <v>162.64</v>
      </c>
    </row>
    <row r="13">
      <c r="A13" t="inlineStr">
        <is>
          <t>S001-P0012</t>
        </is>
      </c>
      <c r="B13" t="n">
        <v>14</v>
      </c>
      <c r="C13" t="n">
        <v>0.6231</v>
      </c>
      <c r="D13" t="n">
        <v>0.7494</v>
      </c>
      <c r="E13" t="n">
        <v>143.29</v>
      </c>
    </row>
    <row r="14">
      <c r="A14" t="inlineStr">
        <is>
          <t>S001-P0013</t>
        </is>
      </c>
      <c r="B14" t="n">
        <v>7</v>
      </c>
      <c r="C14" t="n">
        <v>0.5306999999999999</v>
      </c>
      <c r="D14" t="n">
        <v>0.8458</v>
      </c>
      <c r="E14" t="n">
        <v>139.43</v>
      </c>
    </row>
    <row r="15">
      <c r="A15" t="inlineStr">
        <is>
          <t>S001-P0014</t>
        </is>
      </c>
      <c r="B15" t="n">
        <v>28</v>
      </c>
      <c r="C15" t="n">
        <v>0.6088</v>
      </c>
      <c r="D15" t="n">
        <v>0.7958</v>
      </c>
      <c r="E15" t="n">
        <v>154.61</v>
      </c>
    </row>
    <row r="16">
      <c r="A16" t="inlineStr">
        <is>
          <t>S001-P0015</t>
        </is>
      </c>
      <c r="B16" t="n">
        <v>28</v>
      </c>
      <c r="C16" t="n">
        <v>0.7006</v>
      </c>
      <c r="D16" t="n">
        <v>0.9081</v>
      </c>
      <c r="E16" t="n">
        <v>117.32</v>
      </c>
    </row>
    <row r="17">
      <c r="A17" t="inlineStr">
        <is>
          <t>S001-P0016</t>
        </is>
      </c>
      <c r="B17" t="n">
        <v>28</v>
      </c>
      <c r="C17" t="n">
        <v>0.6647999999999999</v>
      </c>
      <c r="D17" t="n">
        <v>1.041</v>
      </c>
      <c r="E17" t="n">
        <v>154</v>
      </c>
    </row>
    <row r="18">
      <c r="A18" t="inlineStr">
        <is>
          <t>S001-P0017</t>
        </is>
      </c>
      <c r="B18" t="n">
        <v>28</v>
      </c>
      <c r="C18" t="n">
        <v>0.6453</v>
      </c>
      <c r="D18" t="n">
        <v>0.8504</v>
      </c>
      <c r="E18" t="n">
        <v>118.39</v>
      </c>
    </row>
    <row r="19">
      <c r="A19" t="inlineStr">
        <is>
          <t>S001-P0018</t>
        </is>
      </c>
      <c r="B19" t="n">
        <v>14</v>
      </c>
      <c r="C19" t="n">
        <v>0.6664</v>
      </c>
      <c r="D19" t="n">
        <v>0.8596</v>
      </c>
      <c r="E19" t="n">
        <v>68.64</v>
      </c>
    </row>
    <row r="20">
      <c r="A20" t="inlineStr">
        <is>
          <t>S001-P0019</t>
        </is>
      </c>
      <c r="B20" t="n">
        <v>28</v>
      </c>
      <c r="C20" t="n">
        <v>0.6113</v>
      </c>
      <c r="D20" t="n">
        <v>0.9398</v>
      </c>
      <c r="E20" t="n">
        <v>124.61</v>
      </c>
    </row>
    <row r="21">
      <c r="A21" t="inlineStr">
        <is>
          <t>S001-P0020</t>
        </is>
      </c>
      <c r="B21" t="n">
        <v>28</v>
      </c>
      <c r="C21" t="n">
        <v>0.6679</v>
      </c>
      <c r="D21" t="n">
        <v>0.951</v>
      </c>
      <c r="E21" t="n">
        <v>137.79</v>
      </c>
    </row>
    <row r="22">
      <c r="A22" t="inlineStr">
        <is>
          <t>S002-P0001</t>
        </is>
      </c>
      <c r="B22" t="n">
        <v>28</v>
      </c>
      <c r="C22" t="n">
        <v>0.541</v>
      </c>
      <c r="D22" t="n">
        <v>0.7553</v>
      </c>
      <c r="E22" t="n">
        <v>161.86</v>
      </c>
    </row>
    <row r="23">
      <c r="A23" t="inlineStr">
        <is>
          <t>S002-P0002</t>
        </is>
      </c>
      <c r="B23" t="n">
        <v>28</v>
      </c>
      <c r="C23" t="n">
        <v>0.6078</v>
      </c>
      <c r="D23" t="n">
        <v>0.8975</v>
      </c>
      <c r="E23" t="n">
        <v>96.18000000000001</v>
      </c>
    </row>
    <row r="24">
      <c r="A24" t="inlineStr">
        <is>
          <t>S002-P0003</t>
        </is>
      </c>
      <c r="B24" t="n">
        <v>14</v>
      </c>
      <c r="C24" t="n">
        <v>0.6193</v>
      </c>
      <c r="D24" t="n">
        <v>0.7795</v>
      </c>
      <c r="E24" t="n">
        <v>107.86</v>
      </c>
    </row>
    <row r="25">
      <c r="A25" t="inlineStr">
        <is>
          <t>S002-P0004</t>
        </is>
      </c>
      <c r="B25" t="n">
        <v>28</v>
      </c>
      <c r="C25" t="n">
        <v>0.556</v>
      </c>
      <c r="D25" t="n">
        <v>0.8105</v>
      </c>
      <c r="E25" t="n">
        <v>130.39</v>
      </c>
    </row>
    <row r="26">
      <c r="A26" t="inlineStr">
        <is>
          <t>S002-P0005</t>
        </is>
      </c>
      <c r="B26" t="n">
        <v>28</v>
      </c>
      <c r="C26" t="n">
        <v>0.5972</v>
      </c>
      <c r="D26" t="n">
        <v>0.9463</v>
      </c>
      <c r="E26" t="n">
        <v>130.96</v>
      </c>
    </row>
    <row r="27">
      <c r="A27" t="inlineStr">
        <is>
          <t>S002-P0006</t>
        </is>
      </c>
      <c r="B27" t="n">
        <v>28</v>
      </c>
      <c r="C27" t="n">
        <v>0.5590000000000001</v>
      </c>
      <c r="D27" t="n">
        <v>0.7161999999999999</v>
      </c>
      <c r="E27" t="n">
        <v>135.43</v>
      </c>
    </row>
    <row r="28">
      <c r="A28" t="inlineStr">
        <is>
          <t>S002-P0007</t>
        </is>
      </c>
      <c r="B28" t="n">
        <v>7</v>
      </c>
      <c r="C28" t="n">
        <v>0.7367</v>
      </c>
      <c r="D28" t="n">
        <v>0.7326</v>
      </c>
      <c r="E28" t="n">
        <v>139.29</v>
      </c>
    </row>
    <row r="29">
      <c r="A29" t="inlineStr">
        <is>
          <t>S002-P0008</t>
        </is>
      </c>
      <c r="B29" t="n">
        <v>7</v>
      </c>
      <c r="C29" t="n">
        <v>0.9071</v>
      </c>
      <c r="D29" t="n">
        <v>0.9686</v>
      </c>
      <c r="E29" t="n">
        <v>130.43</v>
      </c>
    </row>
    <row r="30">
      <c r="A30" t="inlineStr">
        <is>
          <t>S002-P0009</t>
        </is>
      </c>
      <c r="B30" t="n">
        <v>28</v>
      </c>
      <c r="C30" t="n">
        <v>0.6051</v>
      </c>
      <c r="D30" t="n">
        <v>0.8017</v>
      </c>
      <c r="E30" t="n">
        <v>159.71</v>
      </c>
    </row>
    <row r="31">
      <c r="A31" t="inlineStr">
        <is>
          <t>S002-P0010</t>
        </is>
      </c>
      <c r="B31" t="n">
        <v>28</v>
      </c>
      <c r="C31" t="n">
        <v>0.6737</v>
      </c>
      <c r="D31" t="n">
        <v>1.0119</v>
      </c>
      <c r="E31" t="n">
        <v>158.46</v>
      </c>
    </row>
    <row r="32">
      <c r="A32" t="inlineStr">
        <is>
          <t>S002-P0011</t>
        </is>
      </c>
      <c r="B32" t="n">
        <v>28</v>
      </c>
      <c r="C32" t="n">
        <v>0.6773</v>
      </c>
      <c r="D32" t="n">
        <v>0.9669</v>
      </c>
      <c r="E32" t="n">
        <v>117.54</v>
      </c>
    </row>
    <row r="33">
      <c r="A33" t="inlineStr">
        <is>
          <t>S002-P0012</t>
        </is>
      </c>
      <c r="B33" t="n">
        <v>7</v>
      </c>
      <c r="C33" t="n">
        <v>0.7214</v>
      </c>
      <c r="D33" t="n">
        <v>1.0929</v>
      </c>
      <c r="E33" t="n">
        <v>122.57</v>
      </c>
    </row>
    <row r="34">
      <c r="A34" t="inlineStr">
        <is>
          <t>S002-P0013</t>
        </is>
      </c>
      <c r="B34" t="n">
        <v>28</v>
      </c>
      <c r="C34" t="n">
        <v>0.7181999999999999</v>
      </c>
      <c r="D34" t="n">
        <v>0.9093</v>
      </c>
      <c r="E34" t="n">
        <v>137.79</v>
      </c>
    </row>
    <row r="35">
      <c r="A35" t="inlineStr">
        <is>
          <t>S002-P0014</t>
        </is>
      </c>
      <c r="B35" t="n">
        <v>14</v>
      </c>
      <c r="C35" t="n">
        <v>0.6278</v>
      </c>
      <c r="D35" t="n">
        <v>0.8177</v>
      </c>
      <c r="E35" t="n">
        <v>175.43</v>
      </c>
    </row>
    <row r="36">
      <c r="A36" t="inlineStr">
        <is>
          <t>S002-P0015</t>
        </is>
      </c>
      <c r="B36" t="n">
        <v>28</v>
      </c>
      <c r="C36" t="n">
        <v>0.6196</v>
      </c>
      <c r="D36" t="n">
        <v>0.8678</v>
      </c>
      <c r="E36" t="n">
        <v>123.21</v>
      </c>
    </row>
    <row r="37">
      <c r="A37" t="inlineStr">
        <is>
          <t>S002-P0016</t>
        </is>
      </c>
      <c r="B37" t="n">
        <v>28</v>
      </c>
      <c r="C37" t="n">
        <v>0.5314</v>
      </c>
      <c r="D37" t="n">
        <v>0.715</v>
      </c>
      <c r="E37" t="n">
        <v>171.68</v>
      </c>
    </row>
    <row r="38">
      <c r="A38" t="inlineStr">
        <is>
          <t>S002-P0017</t>
        </is>
      </c>
      <c r="B38" t="n">
        <v>14</v>
      </c>
      <c r="C38" t="n">
        <v>0.6657</v>
      </c>
      <c r="D38" t="n">
        <v>0.9679</v>
      </c>
      <c r="E38" t="n">
        <v>132.79</v>
      </c>
    </row>
    <row r="39">
      <c r="A39" t="inlineStr">
        <is>
          <t>S002-P0018</t>
        </is>
      </c>
      <c r="B39" t="n">
        <v>28</v>
      </c>
      <c r="C39" t="n">
        <v>0.6498</v>
      </c>
      <c r="D39" t="n">
        <v>0.9264</v>
      </c>
      <c r="E39" t="n">
        <v>149.89</v>
      </c>
    </row>
    <row r="40">
      <c r="A40" t="inlineStr">
        <is>
          <t>S002-P0019</t>
        </is>
      </c>
      <c r="B40" t="n">
        <v>28</v>
      </c>
      <c r="C40" t="n">
        <v>0.6709000000000001</v>
      </c>
      <c r="D40" t="n">
        <v>1.0408</v>
      </c>
      <c r="E40" t="n">
        <v>133.07</v>
      </c>
    </row>
    <row r="41">
      <c r="A41" t="inlineStr">
        <is>
          <t>S002-P0020</t>
        </is>
      </c>
      <c r="B41" t="n">
        <v>28</v>
      </c>
      <c r="C41" t="n">
        <v>0.5008</v>
      </c>
      <c r="D41" t="n">
        <v>0.7093</v>
      </c>
      <c r="E41" t="n">
        <v>147.79</v>
      </c>
    </row>
    <row r="42">
      <c r="A42" t="inlineStr">
        <is>
          <t>S003-P0001</t>
        </is>
      </c>
      <c r="B42" t="n">
        <v>28</v>
      </c>
      <c r="C42" t="n">
        <v>0.7115</v>
      </c>
      <c r="D42" t="n">
        <v>1.1064</v>
      </c>
      <c r="E42" t="n">
        <v>102</v>
      </c>
    </row>
    <row r="43">
      <c r="A43" t="inlineStr">
        <is>
          <t>S003-P0002</t>
        </is>
      </c>
      <c r="B43" t="n">
        <v>14</v>
      </c>
      <c r="C43" t="n">
        <v>0.497</v>
      </c>
      <c r="D43" t="n">
        <v>0.7761</v>
      </c>
      <c r="E43" t="n">
        <v>214.43</v>
      </c>
    </row>
    <row r="44">
      <c r="A44" t="inlineStr">
        <is>
          <t>S003-P0003</t>
        </is>
      </c>
      <c r="B44" t="n">
        <v>14</v>
      </c>
      <c r="C44" t="n">
        <v>0.7628</v>
      </c>
      <c r="D44" t="n">
        <v>1.0719</v>
      </c>
      <c r="E44" t="n">
        <v>136.71</v>
      </c>
    </row>
    <row r="45">
      <c r="A45" t="inlineStr">
        <is>
          <t>S003-P0004</t>
        </is>
      </c>
      <c r="B45" t="n">
        <v>28</v>
      </c>
      <c r="C45" t="n">
        <v>0.6009</v>
      </c>
      <c r="D45" t="n">
        <v>0.9122</v>
      </c>
      <c r="E45" t="n">
        <v>138.32</v>
      </c>
    </row>
    <row r="46">
      <c r="A46" t="inlineStr">
        <is>
          <t>S003-P0005</t>
        </is>
      </c>
      <c r="B46" t="n">
        <v>14</v>
      </c>
      <c r="C46" t="n">
        <v>0.731</v>
      </c>
      <c r="D46" t="n">
        <v>0.8705000000000001</v>
      </c>
      <c r="E46" t="n">
        <v>121.64</v>
      </c>
    </row>
    <row r="47">
      <c r="A47" t="inlineStr">
        <is>
          <t>S003-P0006</t>
        </is>
      </c>
      <c r="B47" t="n">
        <v>7</v>
      </c>
      <c r="C47" t="n">
        <v>0.6055</v>
      </c>
      <c r="D47" t="n">
        <v>0.7872</v>
      </c>
      <c r="E47" t="n">
        <v>216.14</v>
      </c>
    </row>
    <row r="48">
      <c r="A48" t="inlineStr">
        <is>
          <t>S003-P0007</t>
        </is>
      </c>
      <c r="B48" t="n">
        <v>7</v>
      </c>
      <c r="C48" t="n">
        <v>0.5965</v>
      </c>
      <c r="D48" t="n">
        <v>0.6619</v>
      </c>
      <c r="E48" t="n">
        <v>166.86</v>
      </c>
    </row>
    <row r="49">
      <c r="A49" t="inlineStr">
        <is>
          <t>S003-P0008</t>
        </is>
      </c>
      <c r="B49" t="n">
        <v>28</v>
      </c>
      <c r="C49" t="n">
        <v>0.6504</v>
      </c>
      <c r="D49" t="n">
        <v>0.9232</v>
      </c>
      <c r="E49" t="n">
        <v>138.64</v>
      </c>
    </row>
    <row r="50">
      <c r="A50" t="inlineStr">
        <is>
          <t>S003-P0009</t>
        </is>
      </c>
      <c r="B50" t="n">
        <v>28</v>
      </c>
      <c r="C50" t="n">
        <v>0.6556</v>
      </c>
      <c r="D50" t="n">
        <v>0.7485000000000001</v>
      </c>
      <c r="E50" t="n">
        <v>138.61</v>
      </c>
    </row>
    <row r="51">
      <c r="A51" t="inlineStr">
        <is>
          <t>S003-P0010</t>
        </is>
      </c>
      <c r="B51" t="n">
        <v>7</v>
      </c>
      <c r="C51" t="n">
        <v>0.6357</v>
      </c>
      <c r="D51" t="n">
        <v>0.8466</v>
      </c>
      <c r="E51" t="n">
        <v>146</v>
      </c>
    </row>
    <row r="52">
      <c r="A52" t="inlineStr">
        <is>
          <t>S003-P0011</t>
        </is>
      </c>
      <c r="B52" t="n">
        <v>28</v>
      </c>
      <c r="C52" t="n">
        <v>0.6506999999999999</v>
      </c>
      <c r="D52" t="n">
        <v>0.9507</v>
      </c>
      <c r="E52" t="n">
        <v>157.36</v>
      </c>
    </row>
    <row r="53">
      <c r="A53" t="inlineStr">
        <is>
          <t>S003-P0012</t>
        </is>
      </c>
      <c r="B53" t="n">
        <v>14</v>
      </c>
      <c r="C53" t="n">
        <v>0.7692</v>
      </c>
      <c r="D53" t="n">
        <v>1.1335</v>
      </c>
      <c r="E53" t="n">
        <v>124.79</v>
      </c>
    </row>
    <row r="54">
      <c r="A54" t="inlineStr">
        <is>
          <t>S003-P0013</t>
        </is>
      </c>
      <c r="B54" t="n">
        <v>7</v>
      </c>
      <c r="C54" t="n">
        <v>0.4854</v>
      </c>
      <c r="D54" t="n">
        <v>0.6171</v>
      </c>
      <c r="E54" t="n">
        <v>123.43</v>
      </c>
    </row>
    <row r="55">
      <c r="A55" t="inlineStr">
        <is>
          <t>S003-P0014</t>
        </is>
      </c>
      <c r="B55" t="n">
        <v>28</v>
      </c>
      <c r="C55" t="n">
        <v>0.6075</v>
      </c>
      <c r="D55" t="n">
        <v>0.8753</v>
      </c>
      <c r="E55" t="n">
        <v>154.07</v>
      </c>
    </row>
    <row r="56">
      <c r="A56" t="inlineStr">
        <is>
          <t>S003-P0015</t>
        </is>
      </c>
      <c r="B56" t="n">
        <v>28</v>
      </c>
      <c r="C56" t="n">
        <v>0.5567</v>
      </c>
      <c r="D56" t="n">
        <v>0.8098</v>
      </c>
      <c r="E56" t="n">
        <v>136.5</v>
      </c>
    </row>
    <row r="57">
      <c r="A57" t="inlineStr">
        <is>
          <t>S003-P0016</t>
        </is>
      </c>
      <c r="B57" t="n">
        <v>28</v>
      </c>
      <c r="C57" t="n">
        <v>0.7813</v>
      </c>
      <c r="D57" t="n">
        <v>1.1872</v>
      </c>
      <c r="E57" t="n">
        <v>124.93</v>
      </c>
    </row>
    <row r="58">
      <c r="A58" t="inlineStr">
        <is>
          <t>S003-P0017</t>
        </is>
      </c>
      <c r="B58" t="n">
        <v>14</v>
      </c>
      <c r="C58" t="n">
        <v>0.729</v>
      </c>
      <c r="D58" t="n">
        <v>0.824</v>
      </c>
      <c r="E58" t="n">
        <v>120.79</v>
      </c>
    </row>
    <row r="59">
      <c r="A59" t="inlineStr">
        <is>
          <t>S003-P0018</t>
        </is>
      </c>
      <c r="B59" t="n">
        <v>28</v>
      </c>
      <c r="C59" t="n">
        <v>0.7761</v>
      </c>
      <c r="D59" t="n">
        <v>0.9432</v>
      </c>
      <c r="E59" t="n">
        <v>142.71</v>
      </c>
    </row>
    <row r="60">
      <c r="A60" t="inlineStr">
        <is>
          <t>S003-P0019</t>
        </is>
      </c>
      <c r="B60" t="n">
        <v>14</v>
      </c>
      <c r="C60" t="n">
        <v>0.5749</v>
      </c>
      <c r="D60" t="n">
        <v>0.8493000000000001</v>
      </c>
      <c r="E60" t="n">
        <v>154.21</v>
      </c>
    </row>
    <row r="61">
      <c r="A61" t="inlineStr">
        <is>
          <t>S003-P0020</t>
        </is>
      </c>
      <c r="B61" t="n">
        <v>28</v>
      </c>
      <c r="C61" t="n">
        <v>0.4877</v>
      </c>
      <c r="D61" t="n">
        <v>0.6959</v>
      </c>
      <c r="E61" t="n">
        <v>142.71</v>
      </c>
    </row>
    <row r="62">
      <c r="A62" t="inlineStr">
        <is>
          <t>S004-P0001</t>
        </is>
      </c>
      <c r="B62" t="n">
        <v>28</v>
      </c>
      <c r="C62" t="n">
        <v>0.6967</v>
      </c>
      <c r="D62" t="n">
        <v>0.9595</v>
      </c>
      <c r="E62" t="n">
        <v>137.57</v>
      </c>
    </row>
    <row r="63">
      <c r="A63" t="inlineStr">
        <is>
          <t>S004-P0002</t>
        </is>
      </c>
      <c r="B63" t="n">
        <v>28</v>
      </c>
      <c r="C63" t="n">
        <v>0.642</v>
      </c>
      <c r="D63" t="n">
        <v>0.9488</v>
      </c>
      <c r="E63" t="n">
        <v>152.71</v>
      </c>
    </row>
    <row r="64">
      <c r="A64" t="inlineStr">
        <is>
          <t>S004-P0003</t>
        </is>
      </c>
      <c r="B64" t="n">
        <v>14</v>
      </c>
      <c r="C64" t="n">
        <v>0.7708</v>
      </c>
      <c r="D64" t="n">
        <v>1.0277</v>
      </c>
      <c r="E64" t="n">
        <v>144</v>
      </c>
    </row>
    <row r="65">
      <c r="A65" t="inlineStr">
        <is>
          <t>S004-P0004</t>
        </is>
      </c>
      <c r="B65" t="n">
        <v>7</v>
      </c>
      <c r="C65" t="n">
        <v>0.8224</v>
      </c>
      <c r="D65" t="n">
        <v>1.0517</v>
      </c>
      <c r="E65" t="n">
        <v>94.86</v>
      </c>
    </row>
    <row r="66">
      <c r="A66" t="inlineStr">
        <is>
          <t>S004-P0005</t>
        </is>
      </c>
      <c r="B66" t="n">
        <v>28</v>
      </c>
      <c r="C66" t="n">
        <v>0.5845</v>
      </c>
      <c r="D66" t="n">
        <v>0.9445</v>
      </c>
      <c r="E66" t="n">
        <v>130.04</v>
      </c>
    </row>
    <row r="67">
      <c r="A67" t="inlineStr">
        <is>
          <t>S004-P0006</t>
        </is>
      </c>
      <c r="B67" t="n">
        <v>7</v>
      </c>
      <c r="C67" t="n">
        <v>0.6605</v>
      </c>
      <c r="D67" t="n">
        <v>0.9273</v>
      </c>
      <c r="E67" t="n">
        <v>180.71</v>
      </c>
    </row>
    <row r="68">
      <c r="A68" t="inlineStr">
        <is>
          <t>S004-P0007</t>
        </is>
      </c>
      <c r="B68" t="n">
        <v>28</v>
      </c>
      <c r="C68" t="n">
        <v>0.6461</v>
      </c>
      <c r="D68" t="n">
        <v>0.9167999999999999</v>
      </c>
      <c r="E68" t="n">
        <v>127.89</v>
      </c>
    </row>
    <row r="69">
      <c r="A69" t="inlineStr">
        <is>
          <t>S004-P0008</t>
        </is>
      </c>
      <c r="B69" t="n">
        <v>28</v>
      </c>
      <c r="C69" t="n">
        <v>0.5691000000000001</v>
      </c>
      <c r="D69" t="n">
        <v>0.6907</v>
      </c>
      <c r="E69" t="n">
        <v>174.14</v>
      </c>
    </row>
    <row r="70">
      <c r="A70" t="inlineStr">
        <is>
          <t>S004-P0009</t>
        </is>
      </c>
      <c r="B70" t="n">
        <v>14</v>
      </c>
      <c r="C70" t="n">
        <v>0.6242</v>
      </c>
      <c r="D70" t="n">
        <v>1.0644</v>
      </c>
      <c r="E70" t="n">
        <v>127.86</v>
      </c>
    </row>
    <row r="71">
      <c r="A71" t="inlineStr">
        <is>
          <t>S004-P0010</t>
        </is>
      </c>
      <c r="B71" t="n">
        <v>28</v>
      </c>
      <c r="C71" t="n">
        <v>0.6558</v>
      </c>
      <c r="D71" t="n">
        <v>0.9372</v>
      </c>
      <c r="E71" t="n">
        <v>135.93</v>
      </c>
    </row>
    <row r="72">
      <c r="A72" t="inlineStr">
        <is>
          <t>S004-P0011</t>
        </is>
      </c>
      <c r="B72" t="n">
        <v>28</v>
      </c>
      <c r="C72" t="n">
        <v>0.646</v>
      </c>
      <c r="D72" t="n">
        <v>0.9285</v>
      </c>
      <c r="E72" t="n">
        <v>139.39</v>
      </c>
    </row>
    <row r="73">
      <c r="A73" t="inlineStr">
        <is>
          <t>S004-P0012</t>
        </is>
      </c>
      <c r="B73" t="n">
        <v>28</v>
      </c>
      <c r="C73" t="n">
        <v>0.6078</v>
      </c>
      <c r="D73" t="n">
        <v>0.9899</v>
      </c>
      <c r="E73" t="n">
        <v>113.64</v>
      </c>
    </row>
    <row r="74">
      <c r="A74" t="inlineStr">
        <is>
          <t>S004-P0013</t>
        </is>
      </c>
      <c r="B74" t="n">
        <v>28</v>
      </c>
      <c r="C74" t="n">
        <v>0.8624000000000001</v>
      </c>
      <c r="D74" t="n">
        <v>1.1074</v>
      </c>
      <c r="E74" t="n">
        <v>112.04</v>
      </c>
    </row>
    <row r="75">
      <c r="A75" t="inlineStr">
        <is>
          <t>S004-P0014</t>
        </is>
      </c>
      <c r="B75" t="n">
        <v>28</v>
      </c>
      <c r="C75" t="n">
        <v>0.5936</v>
      </c>
      <c r="D75" t="n">
        <v>0.8857</v>
      </c>
      <c r="E75" t="n">
        <v>122.79</v>
      </c>
    </row>
    <row r="76">
      <c r="A76" t="inlineStr">
        <is>
          <t>S004-P0015</t>
        </is>
      </c>
      <c r="B76" t="n">
        <v>7</v>
      </c>
      <c r="C76" t="n">
        <v>0.4631</v>
      </c>
      <c r="D76" t="n">
        <v>0.5948</v>
      </c>
      <c r="E76" t="n">
        <v>73.43000000000001</v>
      </c>
    </row>
    <row r="77">
      <c r="A77" t="inlineStr">
        <is>
          <t>S004-P0016</t>
        </is>
      </c>
      <c r="B77" t="n">
        <v>28</v>
      </c>
      <c r="C77" t="n">
        <v>0.5676</v>
      </c>
      <c r="D77" t="n">
        <v>0.756</v>
      </c>
      <c r="E77" t="n">
        <v>133.46</v>
      </c>
    </row>
    <row r="78">
      <c r="A78" t="inlineStr">
        <is>
          <t>S004-P0017</t>
        </is>
      </c>
      <c r="B78" t="n">
        <v>14</v>
      </c>
      <c r="C78" t="n">
        <v>0.6597</v>
      </c>
      <c r="D78" t="n">
        <v>0.9031</v>
      </c>
      <c r="E78" t="n">
        <v>137</v>
      </c>
    </row>
    <row r="79">
      <c r="A79" t="inlineStr">
        <is>
          <t>S004-P0018</t>
        </is>
      </c>
      <c r="B79" t="n">
        <v>14</v>
      </c>
      <c r="C79" t="n">
        <v>0.6929</v>
      </c>
      <c r="D79" t="n">
        <v>1.0007</v>
      </c>
      <c r="E79" t="n">
        <v>89.70999999999999</v>
      </c>
    </row>
    <row r="80">
      <c r="A80" t="inlineStr">
        <is>
          <t>S004-P0019</t>
        </is>
      </c>
      <c r="B80" t="n">
        <v>14</v>
      </c>
      <c r="C80" t="n">
        <v>0.6830000000000001</v>
      </c>
      <c r="D80" t="n">
        <v>0.9547</v>
      </c>
      <c r="E80" t="n">
        <v>91.5</v>
      </c>
    </row>
    <row r="81">
      <c r="A81" t="inlineStr">
        <is>
          <t>S004-P0020</t>
        </is>
      </c>
      <c r="B81" t="n">
        <v>28</v>
      </c>
      <c r="C81" t="n">
        <v>0.5537</v>
      </c>
      <c r="D81" t="n">
        <v>0.8807</v>
      </c>
      <c r="E81" t="n">
        <v>158.39</v>
      </c>
    </row>
    <row r="82">
      <c r="A82" t="inlineStr">
        <is>
          <t>S005-P0001</t>
        </is>
      </c>
      <c r="B82" t="n">
        <v>14</v>
      </c>
      <c r="C82" t="n">
        <v>0.7523</v>
      </c>
      <c r="D82" t="n">
        <v>1.0248</v>
      </c>
      <c r="E82" t="n">
        <v>118.86</v>
      </c>
    </row>
    <row r="83">
      <c r="A83" t="inlineStr">
        <is>
          <t>S005-P0002</t>
        </is>
      </c>
      <c r="B83" t="n">
        <v>28</v>
      </c>
      <c r="C83" t="n">
        <v>0.618</v>
      </c>
      <c r="D83" t="n">
        <v>0.8727</v>
      </c>
      <c r="E83" t="n">
        <v>185.5</v>
      </c>
    </row>
    <row r="84">
      <c r="A84" t="inlineStr">
        <is>
          <t>S005-P0003</t>
        </is>
      </c>
      <c r="B84" t="n">
        <v>28</v>
      </c>
      <c r="C84" t="n">
        <v>0.6205000000000001</v>
      </c>
      <c r="D84" t="n">
        <v>0.7216</v>
      </c>
      <c r="E84" t="n">
        <v>148.82</v>
      </c>
    </row>
    <row r="85">
      <c r="A85" t="inlineStr">
        <is>
          <t>S005-P0004</t>
        </is>
      </c>
      <c r="B85" t="n">
        <v>28</v>
      </c>
      <c r="C85" t="n">
        <v>0.6623</v>
      </c>
      <c r="D85" t="n">
        <v>0.8958</v>
      </c>
      <c r="E85" t="n">
        <v>141.89</v>
      </c>
    </row>
    <row r="86">
      <c r="A86" t="inlineStr">
        <is>
          <t>S005-P0005</t>
        </is>
      </c>
      <c r="B86" t="n">
        <v>28</v>
      </c>
      <c r="C86" t="n">
        <v>0.5824</v>
      </c>
      <c r="D86" t="n">
        <v>0.7466</v>
      </c>
      <c r="E86" t="n">
        <v>147.43</v>
      </c>
    </row>
    <row r="87">
      <c r="A87" t="inlineStr">
        <is>
          <t>S005-P0006</t>
        </is>
      </c>
      <c r="B87" t="n">
        <v>28</v>
      </c>
      <c r="C87" t="n">
        <v>0.5911</v>
      </c>
      <c r="D87" t="n">
        <v>0.7327</v>
      </c>
      <c r="E87" t="n">
        <v>164.07</v>
      </c>
    </row>
    <row r="88">
      <c r="A88" t="inlineStr">
        <is>
          <t>S005-P0007</t>
        </is>
      </c>
      <c r="B88" t="n">
        <v>7</v>
      </c>
      <c r="C88" t="n">
        <v>0.6252</v>
      </c>
      <c r="D88" t="n">
        <v>0.8704</v>
      </c>
      <c r="E88" t="n">
        <v>115.71</v>
      </c>
    </row>
    <row r="89">
      <c r="A89" t="inlineStr">
        <is>
          <t>S005-P0008</t>
        </is>
      </c>
      <c r="B89" t="n">
        <v>7</v>
      </c>
      <c r="C89" t="n">
        <v>0.6433</v>
      </c>
      <c r="D89" t="n">
        <v>0.8904</v>
      </c>
      <c r="E89" t="n">
        <v>165</v>
      </c>
    </row>
    <row r="90">
      <c r="A90" t="inlineStr">
        <is>
          <t>S005-P0009</t>
        </is>
      </c>
      <c r="B90" t="n">
        <v>28</v>
      </c>
      <c r="C90" t="n">
        <v>0.6785</v>
      </c>
      <c r="D90" t="n">
        <v>0.907</v>
      </c>
      <c r="E90" t="n">
        <v>117.86</v>
      </c>
    </row>
    <row r="91">
      <c r="A91" t="inlineStr">
        <is>
          <t>S005-P0010</t>
        </is>
      </c>
      <c r="B91" t="n">
        <v>7</v>
      </c>
      <c r="C91" t="n">
        <v>0.7196</v>
      </c>
      <c r="D91" t="n">
        <v>0.8234</v>
      </c>
      <c r="E91" t="n">
        <v>112.43</v>
      </c>
    </row>
    <row r="92">
      <c r="A92" t="inlineStr">
        <is>
          <t>S005-P0011</t>
        </is>
      </c>
      <c r="B92" t="n">
        <v>7</v>
      </c>
      <c r="C92" t="n">
        <v>0.7979000000000001</v>
      </c>
      <c r="D92" t="n">
        <v>1.0049</v>
      </c>
      <c r="E92" t="n">
        <v>101.86</v>
      </c>
    </row>
    <row r="93">
      <c r="A93" t="inlineStr">
        <is>
          <t>S005-P0012</t>
        </is>
      </c>
      <c r="B93" t="n">
        <v>28</v>
      </c>
      <c r="C93" t="n">
        <v>0.7121</v>
      </c>
      <c r="D93" t="n">
        <v>0.8682</v>
      </c>
      <c r="E93" t="n">
        <v>132.25</v>
      </c>
    </row>
    <row r="94">
      <c r="A94" t="inlineStr">
        <is>
          <t>S005-P0013</t>
        </is>
      </c>
      <c r="B94" t="n">
        <v>28</v>
      </c>
      <c r="C94" t="n">
        <v>0.5192</v>
      </c>
      <c r="D94" t="n">
        <v>0.5804</v>
      </c>
      <c r="E94" t="n">
        <v>177.29</v>
      </c>
    </row>
    <row r="95">
      <c r="A95" t="inlineStr">
        <is>
          <t>S005-P0014</t>
        </is>
      </c>
      <c r="B95" t="n">
        <v>28</v>
      </c>
      <c r="C95" t="n">
        <v>0.6382</v>
      </c>
      <c r="D95" t="n">
        <v>0.8967000000000001</v>
      </c>
      <c r="E95" t="n">
        <v>149.64</v>
      </c>
    </row>
    <row r="96">
      <c r="A96" t="inlineStr">
        <is>
          <t>S005-P0015</t>
        </is>
      </c>
      <c r="B96" t="n">
        <v>7</v>
      </c>
      <c r="C96" t="n">
        <v>0.7425</v>
      </c>
      <c r="D96" t="n">
        <v>0.8089</v>
      </c>
      <c r="E96" t="n">
        <v>124.43</v>
      </c>
    </row>
    <row r="97">
      <c r="A97" t="inlineStr">
        <is>
          <t>S005-P0016</t>
        </is>
      </c>
      <c r="B97" t="n">
        <v>7</v>
      </c>
      <c r="C97" t="n">
        <v>0.5608</v>
      </c>
      <c r="D97" t="n">
        <v>0.6597</v>
      </c>
      <c r="E97" t="n">
        <v>82.56999999999999</v>
      </c>
    </row>
    <row r="98">
      <c r="A98" t="inlineStr">
        <is>
          <t>S005-P0017</t>
        </is>
      </c>
      <c r="B98" t="n">
        <v>28</v>
      </c>
      <c r="C98" t="n">
        <v>0.6012999999999999</v>
      </c>
      <c r="D98" t="n">
        <v>0.9133</v>
      </c>
      <c r="E98" t="n">
        <v>129.75</v>
      </c>
    </row>
    <row r="99">
      <c r="A99" t="inlineStr">
        <is>
          <t>S005-P0018</t>
        </is>
      </c>
      <c r="B99" t="n">
        <v>14</v>
      </c>
      <c r="C99" t="n">
        <v>0.7664</v>
      </c>
      <c r="D99" t="n">
        <v>1.03</v>
      </c>
      <c r="E99" t="n">
        <v>104.57</v>
      </c>
    </row>
    <row r="100">
      <c r="A100" t="inlineStr">
        <is>
          <t>S005-P0019</t>
        </is>
      </c>
      <c r="B100" t="n">
        <v>28</v>
      </c>
      <c r="C100" t="n">
        <v>0.6183999999999999</v>
      </c>
      <c r="D100" t="n">
        <v>0.9372</v>
      </c>
      <c r="E100" t="n">
        <v>138.82</v>
      </c>
    </row>
    <row r="101">
      <c r="A101" t="inlineStr">
        <is>
          <t>S005-P0020</t>
        </is>
      </c>
      <c r="B101" t="n">
        <v>28</v>
      </c>
      <c r="C101" t="n">
        <v>0.7038</v>
      </c>
      <c r="D101" t="n">
        <v>1.1465</v>
      </c>
      <c r="E101" t="n">
        <v>132.39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current_stock</t>
        </is>
      </c>
      <c r="C1" s="3" t="inlineStr">
        <is>
          <t>forecast_daily</t>
        </is>
      </c>
      <c r="D1" s="3" t="inlineStr">
        <is>
          <t>std_daily</t>
        </is>
      </c>
      <c r="E1" s="3" t="inlineStr">
        <is>
          <t>days_cover</t>
        </is>
      </c>
      <c r="F1" s="3" t="inlineStr">
        <is>
          <t>safety_stock</t>
        </is>
      </c>
      <c r="G1" s="3" t="inlineStr">
        <is>
          <t>reorder_point</t>
        </is>
      </c>
      <c r="H1" s="3" t="inlineStr">
        <is>
          <t>risk</t>
        </is>
      </c>
      <c r="I1" s="3" t="inlineStr">
        <is>
          <t>order_qty</t>
        </is>
      </c>
    </row>
    <row r="2">
      <c r="A2" t="inlineStr">
        <is>
          <t>S001-P0001</t>
        </is>
      </c>
      <c r="B2" t="n">
        <v>223</v>
      </c>
      <c r="C2" t="n">
        <v>128.71</v>
      </c>
      <c r="D2" t="n">
        <v>109.15</v>
      </c>
      <c r="E2">
        <f>IF(C2&gt;0,B2/C2,999)</f>
        <v/>
      </c>
      <c r="F2">
        <f>Assumptions!$B$3*D2*SQRT(Assumptions!$B$2)</f>
        <v/>
      </c>
      <c r="G2">
        <f>C2*Assumptions!$B$2+F2</f>
        <v/>
      </c>
      <c r="H2">
        <f>IF(E2&lt;Assumptions!$B$2,"High",IF(B2&lt;G2,"Medium","Low"))</f>
        <v/>
      </c>
      <c r="I2">
        <f>MAX(0,ROUNDUP(G2+C2*Assumptions!$B$4-B2,0))</f>
        <v/>
      </c>
    </row>
    <row r="3">
      <c r="A3" t="inlineStr">
        <is>
          <t>S001-P0002</t>
        </is>
      </c>
      <c r="B3" t="n">
        <v>217</v>
      </c>
      <c r="C3" t="n">
        <v>116.36</v>
      </c>
      <c r="D3" t="n">
        <v>105.39</v>
      </c>
      <c r="E3">
        <f>IF(C3&gt;0,B3/C3,999)</f>
        <v/>
      </c>
      <c r="F3">
        <f>Assumptions!$B$3*D3*SQRT(Assumptions!$B$2)</f>
        <v/>
      </c>
      <c r="G3">
        <f>C3*Assumptions!$B$2+F3</f>
        <v/>
      </c>
      <c r="H3">
        <f>IF(E3&lt;Assumptions!$B$2,"High",IF(B3&lt;G3,"Medium","Low"))</f>
        <v/>
      </c>
      <c r="I3">
        <f>MAX(0,ROUNDUP(G3+C3*Assumptions!$B$4-B3,0))</f>
        <v/>
      </c>
    </row>
    <row r="4">
      <c r="A4" t="inlineStr">
        <is>
          <t>S001-P0003</t>
        </is>
      </c>
      <c r="B4" t="n">
        <v>69</v>
      </c>
      <c r="C4" t="n">
        <v>137.14</v>
      </c>
      <c r="D4" t="n">
        <v>104.8</v>
      </c>
      <c r="E4">
        <f>IF(C4&gt;0,B4/C4,999)</f>
        <v/>
      </c>
      <c r="F4">
        <f>Assumptions!$B$3*D4*SQRT(Assumptions!$B$2)</f>
        <v/>
      </c>
      <c r="G4">
        <f>C4*Assumptions!$B$2+F4</f>
        <v/>
      </c>
      <c r="H4">
        <f>IF(E4&lt;Assumptions!$B$2,"High",IF(B4&lt;G4,"Medium","Low"))</f>
        <v/>
      </c>
      <c r="I4">
        <f>MAX(0,ROUNDUP(G4+C4*Assumptions!$B$4-B4,0))</f>
        <v/>
      </c>
    </row>
    <row r="5">
      <c r="A5" t="inlineStr">
        <is>
          <t>S001-P0004</t>
        </is>
      </c>
      <c r="B5" t="n">
        <v>338</v>
      </c>
      <c r="C5" t="n">
        <v>172</v>
      </c>
      <c r="D5" t="n">
        <v>113.36</v>
      </c>
      <c r="E5">
        <f>IF(C5&gt;0,B5/C5,999)</f>
        <v/>
      </c>
      <c r="F5">
        <f>Assumptions!$B$3*D5*SQRT(Assumptions!$B$2)</f>
        <v/>
      </c>
      <c r="G5">
        <f>C5*Assumptions!$B$2+F5</f>
        <v/>
      </c>
      <c r="H5">
        <f>IF(E5&lt;Assumptions!$B$2,"High",IF(B5&lt;G5,"Medium","Low"))</f>
        <v/>
      </c>
      <c r="I5">
        <f>MAX(0,ROUNDUP(G5+C5*Assumptions!$B$4-B5,0))</f>
        <v/>
      </c>
    </row>
    <row r="6">
      <c r="A6" t="inlineStr">
        <is>
          <t>S001-P0005</t>
        </is>
      </c>
      <c r="B6" t="n">
        <v>471</v>
      </c>
      <c r="C6" t="n">
        <v>172.07</v>
      </c>
      <c r="D6" t="n">
        <v>105.56</v>
      </c>
      <c r="E6">
        <f>IF(C6&gt;0,B6/C6,999)</f>
        <v/>
      </c>
      <c r="F6">
        <f>Assumptions!$B$3*D6*SQRT(Assumptions!$B$2)</f>
        <v/>
      </c>
      <c r="G6">
        <f>C6*Assumptions!$B$2+F6</f>
        <v/>
      </c>
      <c r="H6">
        <f>IF(E6&lt;Assumptions!$B$2,"High",IF(B6&lt;G6,"Medium","Low"))</f>
        <v/>
      </c>
      <c r="I6">
        <f>MAX(0,ROUNDUP(G6+C6*Assumptions!$B$4-B6,0))</f>
        <v/>
      </c>
    </row>
    <row r="7">
      <c r="A7" t="inlineStr">
        <is>
          <t>S001-P0006</t>
        </is>
      </c>
      <c r="B7" t="n">
        <v>305</v>
      </c>
      <c r="C7" t="n">
        <v>105.82</v>
      </c>
      <c r="D7" t="n">
        <v>103.19</v>
      </c>
      <c r="E7">
        <f>IF(C7&gt;0,B7/C7,999)</f>
        <v/>
      </c>
      <c r="F7">
        <f>Assumptions!$B$3*D7*SQRT(Assumptions!$B$2)</f>
        <v/>
      </c>
      <c r="G7">
        <f>C7*Assumptions!$B$2+F7</f>
        <v/>
      </c>
      <c r="H7">
        <f>IF(E7&lt;Assumptions!$B$2,"High",IF(B7&lt;G7,"Medium","Low"))</f>
        <v/>
      </c>
      <c r="I7">
        <f>MAX(0,ROUNDUP(G7+C7*Assumptions!$B$4-B7,0))</f>
        <v/>
      </c>
    </row>
    <row r="8">
      <c r="A8" t="inlineStr">
        <is>
          <t>S001-P0007</t>
        </is>
      </c>
      <c r="B8" t="n">
        <v>256</v>
      </c>
      <c r="C8" t="n">
        <v>153.07</v>
      </c>
      <c r="D8" t="n">
        <v>100.24</v>
      </c>
      <c r="E8">
        <f>IF(C8&gt;0,B8/C8,999)</f>
        <v/>
      </c>
      <c r="F8">
        <f>Assumptions!$B$3*D8*SQRT(Assumptions!$B$2)</f>
        <v/>
      </c>
      <c r="G8">
        <f>C8*Assumptions!$B$2+F8</f>
        <v/>
      </c>
      <c r="H8">
        <f>IF(E8&lt;Assumptions!$B$2,"High",IF(B8&lt;G8,"Medium","Low"))</f>
        <v/>
      </c>
      <c r="I8">
        <f>MAX(0,ROUNDUP(G8+C8*Assumptions!$B$4-B8,0))</f>
        <v/>
      </c>
    </row>
    <row r="9">
      <c r="A9" t="inlineStr">
        <is>
          <t>S001-P0008</t>
        </is>
      </c>
      <c r="B9" t="n">
        <v>315</v>
      </c>
      <c r="C9" t="n">
        <v>151.93</v>
      </c>
      <c r="D9" t="n">
        <v>111.07</v>
      </c>
      <c r="E9">
        <f>IF(C9&gt;0,B9/C9,999)</f>
        <v/>
      </c>
      <c r="F9">
        <f>Assumptions!$B$3*D9*SQRT(Assumptions!$B$2)</f>
        <v/>
      </c>
      <c r="G9">
        <f>C9*Assumptions!$B$2+F9</f>
        <v/>
      </c>
      <c r="H9">
        <f>IF(E9&lt;Assumptions!$B$2,"High",IF(B9&lt;G9,"Medium","Low"))</f>
        <v/>
      </c>
      <c r="I9">
        <f>MAX(0,ROUNDUP(G9+C9*Assumptions!$B$4-B9,0))</f>
        <v/>
      </c>
    </row>
    <row r="10">
      <c r="A10" t="inlineStr">
        <is>
          <t>S001-P0009</t>
        </is>
      </c>
      <c r="B10" t="n">
        <v>167</v>
      </c>
      <c r="C10" t="n">
        <v>109.29</v>
      </c>
      <c r="D10" t="n">
        <v>106.78</v>
      </c>
      <c r="E10">
        <f>IF(C10&gt;0,B10/C10,999)</f>
        <v/>
      </c>
      <c r="F10">
        <f>Assumptions!$B$3*D10*SQRT(Assumptions!$B$2)</f>
        <v/>
      </c>
      <c r="G10">
        <f>C10*Assumptions!$B$2+F10</f>
        <v/>
      </c>
      <c r="H10">
        <f>IF(E10&lt;Assumptions!$B$2,"High",IF(B10&lt;G10,"Medium","Low"))</f>
        <v/>
      </c>
      <c r="I10">
        <f>MAX(0,ROUNDUP(G10+C10*Assumptions!$B$4-B10,0))</f>
        <v/>
      </c>
    </row>
    <row r="11">
      <c r="A11" t="inlineStr">
        <is>
          <t>S001-P0010</t>
        </is>
      </c>
      <c r="B11" t="n">
        <v>167</v>
      </c>
      <c r="C11" t="n">
        <v>124.82</v>
      </c>
      <c r="D11" t="n">
        <v>103.78</v>
      </c>
      <c r="E11">
        <f>IF(C11&gt;0,B11/C11,999)</f>
        <v/>
      </c>
      <c r="F11">
        <f>Assumptions!$B$3*D11*SQRT(Assumptions!$B$2)</f>
        <v/>
      </c>
      <c r="G11">
        <f>C11*Assumptions!$B$2+F11</f>
        <v/>
      </c>
      <c r="H11">
        <f>IF(E11&lt;Assumptions!$B$2,"High",IF(B11&lt;G11,"Medium","Low"))</f>
        <v/>
      </c>
      <c r="I11">
        <f>MAX(0,ROUNDUP(G11+C11*Assumptions!$B$4-B11,0))</f>
        <v/>
      </c>
    </row>
    <row r="12">
      <c r="A12" t="inlineStr">
        <is>
          <t>S001-P0011</t>
        </is>
      </c>
      <c r="B12" t="n">
        <v>449</v>
      </c>
      <c r="C12" t="n">
        <v>162.64</v>
      </c>
      <c r="D12" t="n">
        <v>118.46</v>
      </c>
      <c r="E12">
        <f>IF(C12&gt;0,B12/C12,999)</f>
        <v/>
      </c>
      <c r="F12">
        <f>Assumptions!$B$3*D12*SQRT(Assumptions!$B$2)</f>
        <v/>
      </c>
      <c r="G12">
        <f>C12*Assumptions!$B$2+F12</f>
        <v/>
      </c>
      <c r="H12">
        <f>IF(E12&lt;Assumptions!$B$2,"High",IF(B12&lt;G12,"Medium","Low"))</f>
        <v/>
      </c>
      <c r="I12">
        <f>MAX(0,ROUNDUP(G12+C12*Assumptions!$B$4-B12,0))</f>
        <v/>
      </c>
    </row>
    <row r="13">
      <c r="A13" t="inlineStr">
        <is>
          <t>S001-P0012</t>
        </is>
      </c>
      <c r="B13" t="n">
        <v>213</v>
      </c>
      <c r="C13" t="n">
        <v>143.29</v>
      </c>
      <c r="D13" t="n">
        <v>101.27</v>
      </c>
      <c r="E13">
        <f>IF(C13&gt;0,B13/C13,999)</f>
        <v/>
      </c>
      <c r="F13">
        <f>Assumptions!$B$3*D13*SQRT(Assumptions!$B$2)</f>
        <v/>
      </c>
      <c r="G13">
        <f>C13*Assumptions!$B$2+F13</f>
        <v/>
      </c>
      <c r="H13">
        <f>IF(E13&lt;Assumptions!$B$2,"High",IF(B13&lt;G13,"Medium","Low"))</f>
        <v/>
      </c>
      <c r="I13">
        <f>MAX(0,ROUNDUP(G13+C13*Assumptions!$B$4-B13,0))</f>
        <v/>
      </c>
    </row>
    <row r="14">
      <c r="A14" t="inlineStr">
        <is>
          <t>S001-P0013</t>
        </is>
      </c>
      <c r="B14" t="n">
        <v>356</v>
      </c>
      <c r="C14" t="n">
        <v>139.43</v>
      </c>
      <c r="D14" t="n">
        <v>99.04000000000001</v>
      </c>
      <c r="E14">
        <f>IF(C14&gt;0,B14/C14,999)</f>
        <v/>
      </c>
      <c r="F14">
        <f>Assumptions!$B$3*D14*SQRT(Assumptions!$B$2)</f>
        <v/>
      </c>
      <c r="G14">
        <f>C14*Assumptions!$B$2+F14</f>
        <v/>
      </c>
      <c r="H14">
        <f>IF(E14&lt;Assumptions!$B$2,"High",IF(B14&lt;G14,"Medium","Low"))</f>
        <v/>
      </c>
      <c r="I14">
        <f>MAX(0,ROUNDUP(G14+C14*Assumptions!$B$4-B14,0))</f>
        <v/>
      </c>
    </row>
    <row r="15">
      <c r="A15" t="inlineStr">
        <is>
          <t>S001-P0014</t>
        </is>
      </c>
      <c r="B15" t="n">
        <v>293</v>
      </c>
      <c r="C15" t="n">
        <v>154.61</v>
      </c>
      <c r="D15" t="n">
        <v>121.17</v>
      </c>
      <c r="E15">
        <f>IF(C15&gt;0,B15/C15,999)</f>
        <v/>
      </c>
      <c r="F15">
        <f>Assumptions!$B$3*D15*SQRT(Assumptions!$B$2)</f>
        <v/>
      </c>
      <c r="G15">
        <f>C15*Assumptions!$B$2+F15</f>
        <v/>
      </c>
      <c r="H15">
        <f>IF(E15&lt;Assumptions!$B$2,"High",IF(B15&lt;G15,"Medium","Low"))</f>
        <v/>
      </c>
      <c r="I15">
        <f>MAX(0,ROUNDUP(G15+C15*Assumptions!$B$4-B15,0))</f>
        <v/>
      </c>
    </row>
    <row r="16">
      <c r="A16" t="inlineStr">
        <is>
          <t>S001-P0015</t>
        </is>
      </c>
      <c r="B16" t="n">
        <v>356</v>
      </c>
      <c r="C16" t="n">
        <v>117.32</v>
      </c>
      <c r="D16" t="n">
        <v>101.9</v>
      </c>
      <c r="E16">
        <f>IF(C16&gt;0,B16/C16,999)</f>
        <v/>
      </c>
      <c r="F16">
        <f>Assumptions!$B$3*D16*SQRT(Assumptions!$B$2)</f>
        <v/>
      </c>
      <c r="G16">
        <f>C16*Assumptions!$B$2+F16</f>
        <v/>
      </c>
      <c r="H16">
        <f>IF(E16&lt;Assumptions!$B$2,"High",IF(B16&lt;G16,"Medium","Low"))</f>
        <v/>
      </c>
      <c r="I16">
        <f>MAX(0,ROUNDUP(G16+C16*Assumptions!$B$4-B16,0))</f>
        <v/>
      </c>
    </row>
    <row r="17">
      <c r="A17" t="inlineStr">
        <is>
          <t>S001-P0016</t>
        </is>
      </c>
      <c r="B17" t="n">
        <v>74</v>
      </c>
      <c r="C17" t="n">
        <v>154</v>
      </c>
      <c r="D17" t="n">
        <v>117.31</v>
      </c>
      <c r="E17">
        <f>IF(C17&gt;0,B17/C17,999)</f>
        <v/>
      </c>
      <c r="F17">
        <f>Assumptions!$B$3*D17*SQRT(Assumptions!$B$2)</f>
        <v/>
      </c>
      <c r="G17">
        <f>C17*Assumptions!$B$2+F17</f>
        <v/>
      </c>
      <c r="H17">
        <f>IF(E17&lt;Assumptions!$B$2,"High",IF(B17&lt;G17,"Medium","Low"))</f>
        <v/>
      </c>
      <c r="I17">
        <f>MAX(0,ROUNDUP(G17+C17*Assumptions!$B$4-B17,0))</f>
        <v/>
      </c>
    </row>
    <row r="18">
      <c r="A18" t="inlineStr">
        <is>
          <t>S001-P0017</t>
        </is>
      </c>
      <c r="B18" t="n">
        <v>282</v>
      </c>
      <c r="C18" t="n">
        <v>118.39</v>
      </c>
      <c r="D18" t="n">
        <v>109.35</v>
      </c>
      <c r="E18">
        <f>IF(C18&gt;0,B18/C18,999)</f>
        <v/>
      </c>
      <c r="F18">
        <f>Assumptions!$B$3*D18*SQRT(Assumptions!$B$2)</f>
        <v/>
      </c>
      <c r="G18">
        <f>C18*Assumptions!$B$2+F18</f>
        <v/>
      </c>
      <c r="H18">
        <f>IF(E18&lt;Assumptions!$B$2,"High",IF(B18&lt;G18,"Medium","Low"))</f>
        <v/>
      </c>
      <c r="I18">
        <f>MAX(0,ROUNDUP(G18+C18*Assumptions!$B$4-B18,0))</f>
        <v/>
      </c>
    </row>
    <row r="19">
      <c r="A19" t="inlineStr">
        <is>
          <t>S001-P0018</t>
        </is>
      </c>
      <c r="B19" t="n">
        <v>191</v>
      </c>
      <c r="C19" t="n">
        <v>68.64</v>
      </c>
      <c r="D19" t="n">
        <v>110</v>
      </c>
      <c r="E19">
        <f>IF(C19&gt;0,B19/C19,999)</f>
        <v/>
      </c>
      <c r="F19">
        <f>Assumptions!$B$3*D19*SQRT(Assumptions!$B$2)</f>
        <v/>
      </c>
      <c r="G19">
        <f>C19*Assumptions!$B$2+F19</f>
        <v/>
      </c>
      <c r="H19">
        <f>IF(E19&lt;Assumptions!$B$2,"High",IF(B19&lt;G19,"Medium","Low"))</f>
        <v/>
      </c>
      <c r="I19">
        <f>MAX(0,ROUNDUP(G19+C19*Assumptions!$B$4-B19,0))</f>
        <v/>
      </c>
    </row>
    <row r="20">
      <c r="A20" t="inlineStr">
        <is>
          <t>S001-P0019</t>
        </is>
      </c>
      <c r="B20" t="n">
        <v>149</v>
      </c>
      <c r="C20" t="n">
        <v>124.61</v>
      </c>
      <c r="D20" t="n">
        <v>100.63</v>
      </c>
      <c r="E20">
        <f>IF(C20&gt;0,B20/C20,999)</f>
        <v/>
      </c>
      <c r="F20">
        <f>Assumptions!$B$3*D20*SQRT(Assumptions!$B$2)</f>
        <v/>
      </c>
      <c r="G20">
        <f>C20*Assumptions!$B$2+F20</f>
        <v/>
      </c>
      <c r="H20">
        <f>IF(E20&lt;Assumptions!$B$2,"High",IF(B20&lt;G20,"Medium","Low"))</f>
        <v/>
      </c>
      <c r="I20">
        <f>MAX(0,ROUNDUP(G20+C20*Assumptions!$B$4-B20,0))</f>
        <v/>
      </c>
    </row>
    <row r="21">
      <c r="A21" t="inlineStr">
        <is>
          <t>S001-P0020</t>
        </is>
      </c>
      <c r="B21" t="n">
        <v>242</v>
      </c>
      <c r="C21" t="n">
        <v>137.79</v>
      </c>
      <c r="D21" t="n">
        <v>98.72</v>
      </c>
      <c r="E21">
        <f>IF(C21&gt;0,B21/C21,999)</f>
        <v/>
      </c>
      <c r="F21">
        <f>Assumptions!$B$3*D21*SQRT(Assumptions!$B$2)</f>
        <v/>
      </c>
      <c r="G21">
        <f>C21*Assumptions!$B$2+F21</f>
        <v/>
      </c>
      <c r="H21">
        <f>IF(E21&lt;Assumptions!$B$2,"High",IF(B21&lt;G21,"Medium","Low"))</f>
        <v/>
      </c>
      <c r="I21">
        <f>MAX(0,ROUNDUP(G21+C21*Assumptions!$B$4-B21,0))</f>
        <v/>
      </c>
    </row>
    <row r="22">
      <c r="A22" t="inlineStr">
        <is>
          <t>S002-P0001</t>
        </is>
      </c>
      <c r="B22" t="n">
        <v>415</v>
      </c>
      <c r="C22" t="n">
        <v>161.86</v>
      </c>
      <c r="D22" t="n">
        <v>108.96</v>
      </c>
      <c r="E22">
        <f>IF(C22&gt;0,B22/C22,999)</f>
        <v/>
      </c>
      <c r="F22">
        <f>Assumptions!$B$3*D22*SQRT(Assumptions!$B$2)</f>
        <v/>
      </c>
      <c r="G22">
        <f>C22*Assumptions!$B$2+F22</f>
        <v/>
      </c>
      <c r="H22">
        <f>IF(E22&lt;Assumptions!$B$2,"High",IF(B22&lt;G22,"Medium","Low"))</f>
        <v/>
      </c>
      <c r="I22">
        <f>MAX(0,ROUNDUP(G22+C22*Assumptions!$B$4-B22,0))</f>
        <v/>
      </c>
    </row>
    <row r="23">
      <c r="A23" t="inlineStr">
        <is>
          <t>S002-P0002</t>
        </is>
      </c>
      <c r="B23" t="n">
        <v>364</v>
      </c>
      <c r="C23" t="n">
        <v>96.18000000000001</v>
      </c>
      <c r="D23" t="n">
        <v>94.31</v>
      </c>
      <c r="E23">
        <f>IF(C23&gt;0,B23/C23,999)</f>
        <v/>
      </c>
      <c r="F23">
        <f>Assumptions!$B$3*D23*SQRT(Assumptions!$B$2)</f>
        <v/>
      </c>
      <c r="G23">
        <f>C23*Assumptions!$B$2+F23</f>
        <v/>
      </c>
      <c r="H23">
        <f>IF(E23&lt;Assumptions!$B$2,"High",IF(B23&lt;G23,"Medium","Low"))</f>
        <v/>
      </c>
      <c r="I23">
        <f>MAX(0,ROUNDUP(G23+C23*Assumptions!$B$4-B23,0))</f>
        <v/>
      </c>
    </row>
    <row r="24">
      <c r="A24" t="inlineStr">
        <is>
          <t>S002-P0003</t>
        </is>
      </c>
      <c r="B24" t="n">
        <v>372</v>
      </c>
      <c r="C24" t="n">
        <v>107.86</v>
      </c>
      <c r="D24" t="n">
        <v>103.31</v>
      </c>
      <c r="E24">
        <f>IF(C24&gt;0,B24/C24,999)</f>
        <v/>
      </c>
      <c r="F24">
        <f>Assumptions!$B$3*D24*SQRT(Assumptions!$B$2)</f>
        <v/>
      </c>
      <c r="G24">
        <f>C24*Assumptions!$B$2+F24</f>
        <v/>
      </c>
      <c r="H24">
        <f>IF(E24&lt;Assumptions!$B$2,"High",IF(B24&lt;G24,"Medium","Low"))</f>
        <v/>
      </c>
      <c r="I24">
        <f>MAX(0,ROUNDUP(G24+C24*Assumptions!$B$4-B24,0))</f>
        <v/>
      </c>
    </row>
    <row r="25">
      <c r="A25" t="inlineStr">
        <is>
          <t>S002-P0004</t>
        </is>
      </c>
      <c r="B25" t="n">
        <v>133</v>
      </c>
      <c r="C25" t="n">
        <v>130.39</v>
      </c>
      <c r="D25" t="n">
        <v>97.94</v>
      </c>
      <c r="E25">
        <f>IF(C25&gt;0,B25/C25,999)</f>
        <v/>
      </c>
      <c r="F25">
        <f>Assumptions!$B$3*D25*SQRT(Assumptions!$B$2)</f>
        <v/>
      </c>
      <c r="G25">
        <f>C25*Assumptions!$B$2+F25</f>
        <v/>
      </c>
      <c r="H25">
        <f>IF(E25&lt;Assumptions!$B$2,"High",IF(B25&lt;G25,"Medium","Low"))</f>
        <v/>
      </c>
      <c r="I25">
        <f>MAX(0,ROUNDUP(G25+C25*Assumptions!$B$4-B25,0))</f>
        <v/>
      </c>
    </row>
    <row r="26">
      <c r="A26" t="inlineStr">
        <is>
          <t>S002-P0005</t>
        </is>
      </c>
      <c r="B26" t="n">
        <v>464</v>
      </c>
      <c r="C26" t="n">
        <v>130.96</v>
      </c>
      <c r="D26" t="n">
        <v>100.51</v>
      </c>
      <c r="E26">
        <f>IF(C26&gt;0,B26/C26,999)</f>
        <v/>
      </c>
      <c r="F26">
        <f>Assumptions!$B$3*D26*SQRT(Assumptions!$B$2)</f>
        <v/>
      </c>
      <c r="G26">
        <f>C26*Assumptions!$B$2+F26</f>
        <v/>
      </c>
      <c r="H26">
        <f>IF(E26&lt;Assumptions!$B$2,"High",IF(B26&lt;G26,"Medium","Low"))</f>
        <v/>
      </c>
      <c r="I26">
        <f>MAX(0,ROUNDUP(G26+C26*Assumptions!$B$4-B26,0))</f>
        <v/>
      </c>
    </row>
    <row r="27">
      <c r="A27" t="inlineStr">
        <is>
          <t>S002-P0006</t>
        </is>
      </c>
      <c r="B27" t="n">
        <v>160</v>
      </c>
      <c r="C27" t="n">
        <v>135.43</v>
      </c>
      <c r="D27" t="n">
        <v>97.78</v>
      </c>
      <c r="E27">
        <f>IF(C27&gt;0,B27/C27,999)</f>
        <v/>
      </c>
      <c r="F27">
        <f>Assumptions!$B$3*D27*SQRT(Assumptions!$B$2)</f>
        <v/>
      </c>
      <c r="G27">
        <f>C27*Assumptions!$B$2+F27</f>
        <v/>
      </c>
      <c r="H27">
        <f>IF(E27&lt;Assumptions!$B$2,"High",IF(B27&lt;G27,"Medium","Low"))</f>
        <v/>
      </c>
      <c r="I27">
        <f>MAX(0,ROUNDUP(G27+C27*Assumptions!$B$4-B27,0))</f>
        <v/>
      </c>
    </row>
    <row r="28">
      <c r="A28" t="inlineStr">
        <is>
          <t>S002-P0007</t>
        </is>
      </c>
      <c r="B28" t="n">
        <v>53</v>
      </c>
      <c r="C28" t="n">
        <v>139.29</v>
      </c>
      <c r="D28" t="n">
        <v>114.99</v>
      </c>
      <c r="E28">
        <f>IF(C28&gt;0,B28/C28,999)</f>
        <v/>
      </c>
      <c r="F28">
        <f>Assumptions!$B$3*D28*SQRT(Assumptions!$B$2)</f>
        <v/>
      </c>
      <c r="G28">
        <f>C28*Assumptions!$B$2+F28</f>
        <v/>
      </c>
      <c r="H28">
        <f>IF(E28&lt;Assumptions!$B$2,"High",IF(B28&lt;G28,"Medium","Low"))</f>
        <v/>
      </c>
      <c r="I28">
        <f>MAX(0,ROUNDUP(G28+C28*Assumptions!$B$4-B28,0))</f>
        <v/>
      </c>
    </row>
    <row r="29">
      <c r="A29" t="inlineStr">
        <is>
          <t>S002-P0008</t>
        </is>
      </c>
      <c r="B29" t="n">
        <v>218</v>
      </c>
      <c r="C29" t="n">
        <v>130.43</v>
      </c>
      <c r="D29" t="n">
        <v>112.77</v>
      </c>
      <c r="E29">
        <f>IF(C29&gt;0,B29/C29,999)</f>
        <v/>
      </c>
      <c r="F29">
        <f>Assumptions!$B$3*D29*SQRT(Assumptions!$B$2)</f>
        <v/>
      </c>
      <c r="G29">
        <f>C29*Assumptions!$B$2+F29</f>
        <v/>
      </c>
      <c r="H29">
        <f>IF(E29&lt;Assumptions!$B$2,"High",IF(B29&lt;G29,"Medium","Low"))</f>
        <v/>
      </c>
      <c r="I29">
        <f>MAX(0,ROUNDUP(G29+C29*Assumptions!$B$4-B29,0))</f>
        <v/>
      </c>
    </row>
    <row r="30">
      <c r="A30" t="inlineStr">
        <is>
          <t>S002-P0009</t>
        </is>
      </c>
      <c r="B30" t="n">
        <v>62</v>
      </c>
      <c r="C30" t="n">
        <v>159.71</v>
      </c>
      <c r="D30" t="n">
        <v>119.08</v>
      </c>
      <c r="E30">
        <f>IF(C30&gt;0,B30/C30,999)</f>
        <v/>
      </c>
      <c r="F30">
        <f>Assumptions!$B$3*D30*SQRT(Assumptions!$B$2)</f>
        <v/>
      </c>
      <c r="G30">
        <f>C30*Assumptions!$B$2+F30</f>
        <v/>
      </c>
      <c r="H30">
        <f>IF(E30&lt;Assumptions!$B$2,"High",IF(B30&lt;G30,"Medium","Low"))</f>
        <v/>
      </c>
      <c r="I30">
        <f>MAX(0,ROUNDUP(G30+C30*Assumptions!$B$4-B30,0))</f>
        <v/>
      </c>
    </row>
    <row r="31">
      <c r="A31" t="inlineStr">
        <is>
          <t>S002-P0010</t>
        </is>
      </c>
      <c r="B31" t="n">
        <v>419</v>
      </c>
      <c r="C31" t="n">
        <v>158.46</v>
      </c>
      <c r="D31" t="n">
        <v>117.06</v>
      </c>
      <c r="E31">
        <f>IF(C31&gt;0,B31/C31,999)</f>
        <v/>
      </c>
      <c r="F31">
        <f>Assumptions!$B$3*D31*SQRT(Assumptions!$B$2)</f>
        <v/>
      </c>
      <c r="G31">
        <f>C31*Assumptions!$B$2+F31</f>
        <v/>
      </c>
      <c r="H31">
        <f>IF(E31&lt;Assumptions!$B$2,"High",IF(B31&lt;G31,"Medium","Low"))</f>
        <v/>
      </c>
      <c r="I31">
        <f>MAX(0,ROUNDUP(G31+C31*Assumptions!$B$4-B31,0))</f>
        <v/>
      </c>
    </row>
    <row r="32">
      <c r="A32" t="inlineStr">
        <is>
          <t>S002-P0011</t>
        </is>
      </c>
      <c r="B32" t="n">
        <v>156</v>
      </c>
      <c r="C32" t="n">
        <v>117.54</v>
      </c>
      <c r="D32" t="n">
        <v>103.67</v>
      </c>
      <c r="E32">
        <f>IF(C32&gt;0,B32/C32,999)</f>
        <v/>
      </c>
      <c r="F32">
        <f>Assumptions!$B$3*D32*SQRT(Assumptions!$B$2)</f>
        <v/>
      </c>
      <c r="G32">
        <f>C32*Assumptions!$B$2+F32</f>
        <v/>
      </c>
      <c r="H32">
        <f>IF(E32&lt;Assumptions!$B$2,"High",IF(B32&lt;G32,"Medium","Low"))</f>
        <v/>
      </c>
      <c r="I32">
        <f>MAX(0,ROUNDUP(G32+C32*Assumptions!$B$4-B32,0))</f>
        <v/>
      </c>
    </row>
    <row r="33">
      <c r="A33" t="inlineStr">
        <is>
          <t>S002-P0012</t>
        </is>
      </c>
      <c r="B33" t="n">
        <v>193</v>
      </c>
      <c r="C33" t="n">
        <v>122.57</v>
      </c>
      <c r="D33" t="n">
        <v>122.77</v>
      </c>
      <c r="E33">
        <f>IF(C33&gt;0,B33/C33,999)</f>
        <v/>
      </c>
      <c r="F33">
        <f>Assumptions!$B$3*D33*SQRT(Assumptions!$B$2)</f>
        <v/>
      </c>
      <c r="G33">
        <f>C33*Assumptions!$B$2+F33</f>
        <v/>
      </c>
      <c r="H33">
        <f>IF(E33&lt;Assumptions!$B$2,"High",IF(B33&lt;G33,"Medium","Low"))</f>
        <v/>
      </c>
      <c r="I33">
        <f>MAX(0,ROUNDUP(G33+C33*Assumptions!$B$4-B33,0))</f>
        <v/>
      </c>
    </row>
    <row r="34">
      <c r="A34" t="inlineStr">
        <is>
          <t>S002-P0013</t>
        </is>
      </c>
      <c r="B34" t="n">
        <v>472</v>
      </c>
      <c r="C34" t="n">
        <v>137.79</v>
      </c>
      <c r="D34" t="n">
        <v>106.57</v>
      </c>
      <c r="E34">
        <f>IF(C34&gt;0,B34/C34,999)</f>
        <v/>
      </c>
      <c r="F34">
        <f>Assumptions!$B$3*D34*SQRT(Assumptions!$B$2)</f>
        <v/>
      </c>
      <c r="G34">
        <f>C34*Assumptions!$B$2+F34</f>
        <v/>
      </c>
      <c r="H34">
        <f>IF(E34&lt;Assumptions!$B$2,"High",IF(B34&lt;G34,"Medium","Low"))</f>
        <v/>
      </c>
      <c r="I34">
        <f>MAX(0,ROUNDUP(G34+C34*Assumptions!$B$4-B34,0))</f>
        <v/>
      </c>
    </row>
    <row r="35">
      <c r="A35" t="inlineStr">
        <is>
          <t>S002-P0014</t>
        </is>
      </c>
      <c r="B35" t="n">
        <v>342</v>
      </c>
      <c r="C35" t="n">
        <v>175.43</v>
      </c>
      <c r="D35" t="n">
        <v>101.8</v>
      </c>
      <c r="E35">
        <f>IF(C35&gt;0,B35/C35,999)</f>
        <v/>
      </c>
      <c r="F35">
        <f>Assumptions!$B$3*D35*SQRT(Assumptions!$B$2)</f>
        <v/>
      </c>
      <c r="G35">
        <f>C35*Assumptions!$B$2+F35</f>
        <v/>
      </c>
      <c r="H35">
        <f>IF(E35&lt;Assumptions!$B$2,"High",IF(B35&lt;G35,"Medium","Low"))</f>
        <v/>
      </c>
      <c r="I35">
        <f>MAX(0,ROUNDUP(G35+C35*Assumptions!$B$4-B35,0))</f>
        <v/>
      </c>
    </row>
    <row r="36">
      <c r="A36" t="inlineStr">
        <is>
          <t>S002-P0015</t>
        </is>
      </c>
      <c r="B36" t="n">
        <v>433</v>
      </c>
      <c r="C36" t="n">
        <v>123.21</v>
      </c>
      <c r="D36" t="n">
        <v>106.69</v>
      </c>
      <c r="E36">
        <f>IF(C36&gt;0,B36/C36,999)</f>
        <v/>
      </c>
      <c r="F36">
        <f>Assumptions!$B$3*D36*SQRT(Assumptions!$B$2)</f>
        <v/>
      </c>
      <c r="G36">
        <f>C36*Assumptions!$B$2+F36</f>
        <v/>
      </c>
      <c r="H36">
        <f>IF(E36&lt;Assumptions!$B$2,"High",IF(B36&lt;G36,"Medium","Low"))</f>
        <v/>
      </c>
      <c r="I36">
        <f>MAX(0,ROUNDUP(G36+C36*Assumptions!$B$4-B36,0))</f>
        <v/>
      </c>
    </row>
    <row r="37">
      <c r="A37" t="inlineStr">
        <is>
          <t>S002-P0016</t>
        </is>
      </c>
      <c r="B37" t="n">
        <v>258</v>
      </c>
      <c r="C37" t="n">
        <v>171.68</v>
      </c>
      <c r="D37" t="n">
        <v>110.58</v>
      </c>
      <c r="E37">
        <f>IF(C37&gt;0,B37/C37,999)</f>
        <v/>
      </c>
      <c r="F37">
        <f>Assumptions!$B$3*D37*SQRT(Assumptions!$B$2)</f>
        <v/>
      </c>
      <c r="G37">
        <f>C37*Assumptions!$B$2+F37</f>
        <v/>
      </c>
      <c r="H37">
        <f>IF(E37&lt;Assumptions!$B$2,"High",IF(B37&lt;G37,"Medium","Low"))</f>
        <v/>
      </c>
      <c r="I37">
        <f>MAX(0,ROUNDUP(G37+C37*Assumptions!$B$4-B37,0))</f>
        <v/>
      </c>
    </row>
    <row r="38">
      <c r="A38" t="inlineStr">
        <is>
          <t>S002-P0017</t>
        </is>
      </c>
      <c r="B38" t="n">
        <v>236</v>
      </c>
      <c r="C38" t="n">
        <v>132.79</v>
      </c>
      <c r="D38" t="n">
        <v>112.28</v>
      </c>
      <c r="E38">
        <f>IF(C38&gt;0,B38/C38,999)</f>
        <v/>
      </c>
      <c r="F38">
        <f>Assumptions!$B$3*D38*SQRT(Assumptions!$B$2)</f>
        <v/>
      </c>
      <c r="G38">
        <f>C38*Assumptions!$B$2+F38</f>
        <v/>
      </c>
      <c r="H38">
        <f>IF(E38&lt;Assumptions!$B$2,"High",IF(B38&lt;G38,"Medium","Low"))</f>
        <v/>
      </c>
      <c r="I38">
        <f>MAX(0,ROUNDUP(G38+C38*Assumptions!$B$4-B38,0))</f>
        <v/>
      </c>
    </row>
    <row r="39">
      <c r="A39" t="inlineStr">
        <is>
          <t>S002-P0018</t>
        </is>
      </c>
      <c r="B39" t="n">
        <v>151</v>
      </c>
      <c r="C39" t="n">
        <v>149.89</v>
      </c>
      <c r="D39" t="n">
        <v>120.8</v>
      </c>
      <c r="E39">
        <f>IF(C39&gt;0,B39/C39,999)</f>
        <v/>
      </c>
      <c r="F39">
        <f>Assumptions!$B$3*D39*SQRT(Assumptions!$B$2)</f>
        <v/>
      </c>
      <c r="G39">
        <f>C39*Assumptions!$B$2+F39</f>
        <v/>
      </c>
      <c r="H39">
        <f>IF(E39&lt;Assumptions!$B$2,"High",IF(B39&lt;G39,"Medium","Low"))</f>
        <v/>
      </c>
      <c r="I39">
        <f>MAX(0,ROUNDUP(G39+C39*Assumptions!$B$4-B39,0))</f>
        <v/>
      </c>
    </row>
    <row r="40">
      <c r="A40" t="inlineStr">
        <is>
          <t>S002-P0019</t>
        </is>
      </c>
      <c r="B40" t="n">
        <v>409</v>
      </c>
      <c r="C40" t="n">
        <v>133.07</v>
      </c>
      <c r="D40" t="n">
        <v>100.77</v>
      </c>
      <c r="E40">
        <f>IF(C40&gt;0,B40/C40,999)</f>
        <v/>
      </c>
      <c r="F40">
        <f>Assumptions!$B$3*D40*SQRT(Assumptions!$B$2)</f>
        <v/>
      </c>
      <c r="G40">
        <f>C40*Assumptions!$B$2+F40</f>
        <v/>
      </c>
      <c r="H40">
        <f>IF(E40&lt;Assumptions!$B$2,"High",IF(B40&lt;G40,"Medium","Low"))</f>
        <v/>
      </c>
      <c r="I40">
        <f>MAX(0,ROUNDUP(G40+C40*Assumptions!$B$4-B40,0))</f>
        <v/>
      </c>
    </row>
    <row r="41">
      <c r="A41" t="inlineStr">
        <is>
          <t>S002-P0020</t>
        </is>
      </c>
      <c r="B41" t="n">
        <v>284</v>
      </c>
      <c r="C41" t="n">
        <v>147.79</v>
      </c>
      <c r="D41" t="n">
        <v>109.53</v>
      </c>
      <c r="E41">
        <f>IF(C41&gt;0,B41/C41,999)</f>
        <v/>
      </c>
      <c r="F41">
        <f>Assumptions!$B$3*D41*SQRT(Assumptions!$B$2)</f>
        <v/>
      </c>
      <c r="G41">
        <f>C41*Assumptions!$B$2+F41</f>
        <v/>
      </c>
      <c r="H41">
        <f>IF(E41&lt;Assumptions!$B$2,"High",IF(B41&lt;G41,"Medium","Low"))</f>
        <v/>
      </c>
      <c r="I41">
        <f>MAX(0,ROUNDUP(G41+C41*Assumptions!$B$4-B41,0))</f>
        <v/>
      </c>
    </row>
    <row r="42">
      <c r="A42" t="inlineStr">
        <is>
          <t>S003-P0001</t>
        </is>
      </c>
      <c r="B42" t="n">
        <v>138</v>
      </c>
      <c r="C42" t="n">
        <v>102</v>
      </c>
      <c r="D42" t="n">
        <v>101.83</v>
      </c>
      <c r="E42">
        <f>IF(C42&gt;0,B42/C42,999)</f>
        <v/>
      </c>
      <c r="F42">
        <f>Assumptions!$B$3*D42*SQRT(Assumptions!$B$2)</f>
        <v/>
      </c>
      <c r="G42">
        <f>C42*Assumptions!$B$2+F42</f>
        <v/>
      </c>
      <c r="H42">
        <f>IF(E42&lt;Assumptions!$B$2,"High",IF(B42&lt;G42,"Medium","Low"))</f>
        <v/>
      </c>
      <c r="I42">
        <f>MAX(0,ROUNDUP(G42+C42*Assumptions!$B$4-B42,0))</f>
        <v/>
      </c>
    </row>
    <row r="43">
      <c r="A43" t="inlineStr">
        <is>
          <t>S003-P0002</t>
        </is>
      </c>
      <c r="B43" t="n">
        <v>388</v>
      </c>
      <c r="C43" t="n">
        <v>214.43</v>
      </c>
      <c r="D43" t="n">
        <v>107.03</v>
      </c>
      <c r="E43">
        <f>IF(C43&gt;0,B43/C43,999)</f>
        <v/>
      </c>
      <c r="F43">
        <f>Assumptions!$B$3*D43*SQRT(Assumptions!$B$2)</f>
        <v/>
      </c>
      <c r="G43">
        <f>C43*Assumptions!$B$2+F43</f>
        <v/>
      </c>
      <c r="H43">
        <f>IF(E43&lt;Assumptions!$B$2,"High",IF(B43&lt;G43,"Medium","Low"))</f>
        <v/>
      </c>
      <c r="I43">
        <f>MAX(0,ROUNDUP(G43+C43*Assumptions!$B$4-B43,0))</f>
        <v/>
      </c>
    </row>
    <row r="44">
      <c r="A44" t="inlineStr">
        <is>
          <t>S003-P0003</t>
        </is>
      </c>
      <c r="B44" t="n">
        <v>112</v>
      </c>
      <c r="C44" t="n">
        <v>136.71</v>
      </c>
      <c r="D44" t="n">
        <v>108.1</v>
      </c>
      <c r="E44">
        <f>IF(C44&gt;0,B44/C44,999)</f>
        <v/>
      </c>
      <c r="F44">
        <f>Assumptions!$B$3*D44*SQRT(Assumptions!$B$2)</f>
        <v/>
      </c>
      <c r="G44">
        <f>C44*Assumptions!$B$2+F44</f>
        <v/>
      </c>
      <c r="H44">
        <f>IF(E44&lt;Assumptions!$B$2,"High",IF(B44&lt;G44,"Medium","Low"))</f>
        <v/>
      </c>
      <c r="I44">
        <f>MAX(0,ROUNDUP(G44+C44*Assumptions!$B$4-B44,0))</f>
        <v/>
      </c>
    </row>
    <row r="45">
      <c r="A45" t="inlineStr">
        <is>
          <t>S003-P0004</t>
        </is>
      </c>
      <c r="B45" t="n">
        <v>415</v>
      </c>
      <c r="C45" t="n">
        <v>138.32</v>
      </c>
      <c r="D45" t="n">
        <v>104.21</v>
      </c>
      <c r="E45">
        <f>IF(C45&gt;0,B45/C45,999)</f>
        <v/>
      </c>
      <c r="F45">
        <f>Assumptions!$B$3*D45*SQRT(Assumptions!$B$2)</f>
        <v/>
      </c>
      <c r="G45">
        <f>C45*Assumptions!$B$2+F45</f>
        <v/>
      </c>
      <c r="H45">
        <f>IF(E45&lt;Assumptions!$B$2,"High",IF(B45&lt;G45,"Medium","Low"))</f>
        <v/>
      </c>
      <c r="I45">
        <f>MAX(0,ROUNDUP(G45+C45*Assumptions!$B$4-B45,0))</f>
        <v/>
      </c>
    </row>
    <row r="46">
      <c r="A46" t="inlineStr">
        <is>
          <t>S003-P0005</t>
        </is>
      </c>
      <c r="B46" t="n">
        <v>411</v>
      </c>
      <c r="C46" t="n">
        <v>121.64</v>
      </c>
      <c r="D46" t="n">
        <v>100.05</v>
      </c>
      <c r="E46">
        <f>IF(C46&gt;0,B46/C46,999)</f>
        <v/>
      </c>
      <c r="F46">
        <f>Assumptions!$B$3*D46*SQRT(Assumptions!$B$2)</f>
        <v/>
      </c>
      <c r="G46">
        <f>C46*Assumptions!$B$2+F46</f>
        <v/>
      </c>
      <c r="H46">
        <f>IF(E46&lt;Assumptions!$B$2,"High",IF(B46&lt;G46,"Medium","Low"))</f>
        <v/>
      </c>
      <c r="I46">
        <f>MAX(0,ROUNDUP(G46+C46*Assumptions!$B$4-B46,0))</f>
        <v/>
      </c>
    </row>
    <row r="47">
      <c r="A47" t="inlineStr">
        <is>
          <t>S003-P0006</t>
        </is>
      </c>
      <c r="B47" t="n">
        <v>451</v>
      </c>
      <c r="C47" t="n">
        <v>216.14</v>
      </c>
      <c r="D47" t="n">
        <v>104.26</v>
      </c>
      <c r="E47">
        <f>IF(C47&gt;0,B47/C47,999)</f>
        <v/>
      </c>
      <c r="F47">
        <f>Assumptions!$B$3*D47*SQRT(Assumptions!$B$2)</f>
        <v/>
      </c>
      <c r="G47">
        <f>C47*Assumptions!$B$2+F47</f>
        <v/>
      </c>
      <c r="H47">
        <f>IF(E47&lt;Assumptions!$B$2,"High",IF(B47&lt;G47,"Medium","Low"))</f>
        <v/>
      </c>
      <c r="I47">
        <f>MAX(0,ROUNDUP(G47+C47*Assumptions!$B$4-B47,0))</f>
        <v/>
      </c>
    </row>
    <row r="48">
      <c r="A48" t="inlineStr">
        <is>
          <t>S003-P0007</t>
        </is>
      </c>
      <c r="B48" t="n">
        <v>108</v>
      </c>
      <c r="C48" t="n">
        <v>166.86</v>
      </c>
      <c r="D48" t="n">
        <v>101.62</v>
      </c>
      <c r="E48">
        <f>IF(C48&gt;0,B48/C48,999)</f>
        <v/>
      </c>
      <c r="F48">
        <f>Assumptions!$B$3*D48*SQRT(Assumptions!$B$2)</f>
        <v/>
      </c>
      <c r="G48">
        <f>C48*Assumptions!$B$2+F48</f>
        <v/>
      </c>
      <c r="H48">
        <f>IF(E48&lt;Assumptions!$B$2,"High",IF(B48&lt;G48,"Medium","Low"))</f>
        <v/>
      </c>
      <c r="I48">
        <f>MAX(0,ROUNDUP(G48+C48*Assumptions!$B$4-B48,0))</f>
        <v/>
      </c>
    </row>
    <row r="49">
      <c r="A49" t="inlineStr">
        <is>
          <t>S003-P0008</t>
        </is>
      </c>
      <c r="B49" t="n">
        <v>103</v>
      </c>
      <c r="C49" t="n">
        <v>138.64</v>
      </c>
      <c r="D49" t="n">
        <v>103.19</v>
      </c>
      <c r="E49">
        <f>IF(C49&gt;0,B49/C49,999)</f>
        <v/>
      </c>
      <c r="F49">
        <f>Assumptions!$B$3*D49*SQRT(Assumptions!$B$2)</f>
        <v/>
      </c>
      <c r="G49">
        <f>C49*Assumptions!$B$2+F49</f>
        <v/>
      </c>
      <c r="H49">
        <f>IF(E49&lt;Assumptions!$B$2,"High",IF(B49&lt;G49,"Medium","Low"))</f>
        <v/>
      </c>
      <c r="I49">
        <f>MAX(0,ROUNDUP(G49+C49*Assumptions!$B$4-B49,0))</f>
        <v/>
      </c>
    </row>
    <row r="50">
      <c r="A50" t="inlineStr">
        <is>
          <t>S003-P0009</t>
        </is>
      </c>
      <c r="B50" t="n">
        <v>496</v>
      </c>
      <c r="C50" t="n">
        <v>138.61</v>
      </c>
      <c r="D50" t="n">
        <v>112.55</v>
      </c>
      <c r="E50">
        <f>IF(C50&gt;0,B50/C50,999)</f>
        <v/>
      </c>
      <c r="F50">
        <f>Assumptions!$B$3*D50*SQRT(Assumptions!$B$2)</f>
        <v/>
      </c>
      <c r="G50">
        <f>C50*Assumptions!$B$2+F50</f>
        <v/>
      </c>
      <c r="H50">
        <f>IF(E50&lt;Assumptions!$B$2,"High",IF(B50&lt;G50,"Medium","Low"))</f>
        <v/>
      </c>
      <c r="I50">
        <f>MAX(0,ROUNDUP(G50+C50*Assumptions!$B$4-B50,0))</f>
        <v/>
      </c>
    </row>
    <row r="51">
      <c r="A51" t="inlineStr">
        <is>
          <t>S003-P0010</t>
        </is>
      </c>
      <c r="B51" t="n">
        <v>413</v>
      </c>
      <c r="C51" t="n">
        <v>146</v>
      </c>
      <c r="D51" t="n">
        <v>118.84</v>
      </c>
      <c r="E51">
        <f>IF(C51&gt;0,B51/C51,999)</f>
        <v/>
      </c>
      <c r="F51">
        <f>Assumptions!$B$3*D51*SQRT(Assumptions!$B$2)</f>
        <v/>
      </c>
      <c r="G51">
        <f>C51*Assumptions!$B$2+F51</f>
        <v/>
      </c>
      <c r="H51">
        <f>IF(E51&lt;Assumptions!$B$2,"High",IF(B51&lt;G51,"Medium","Low"))</f>
        <v/>
      </c>
      <c r="I51">
        <f>MAX(0,ROUNDUP(G51+C51*Assumptions!$B$4-B51,0))</f>
        <v/>
      </c>
    </row>
    <row r="52">
      <c r="A52" t="inlineStr">
        <is>
          <t>S003-P0011</t>
        </is>
      </c>
      <c r="B52" t="n">
        <v>137</v>
      </c>
      <c r="C52" t="n">
        <v>157.36</v>
      </c>
      <c r="D52" t="n">
        <v>109.64</v>
      </c>
      <c r="E52">
        <f>IF(C52&gt;0,B52/C52,999)</f>
        <v/>
      </c>
      <c r="F52">
        <f>Assumptions!$B$3*D52*SQRT(Assumptions!$B$2)</f>
        <v/>
      </c>
      <c r="G52">
        <f>C52*Assumptions!$B$2+F52</f>
        <v/>
      </c>
      <c r="H52">
        <f>IF(E52&lt;Assumptions!$B$2,"High",IF(B52&lt;G52,"Medium","Low"))</f>
        <v/>
      </c>
      <c r="I52">
        <f>MAX(0,ROUNDUP(G52+C52*Assumptions!$B$4-B52,0))</f>
        <v/>
      </c>
    </row>
    <row r="53">
      <c r="A53" t="inlineStr">
        <is>
          <t>S003-P0012</t>
        </is>
      </c>
      <c r="B53" t="n">
        <v>108</v>
      </c>
      <c r="C53" t="n">
        <v>124.79</v>
      </c>
      <c r="D53" t="n">
        <v>110.39</v>
      </c>
      <c r="E53">
        <f>IF(C53&gt;0,B53/C53,999)</f>
        <v/>
      </c>
      <c r="F53">
        <f>Assumptions!$B$3*D53*SQRT(Assumptions!$B$2)</f>
        <v/>
      </c>
      <c r="G53">
        <f>C53*Assumptions!$B$2+F53</f>
        <v/>
      </c>
      <c r="H53">
        <f>IF(E53&lt;Assumptions!$B$2,"High",IF(B53&lt;G53,"Medium","Low"))</f>
        <v/>
      </c>
      <c r="I53">
        <f>MAX(0,ROUNDUP(G53+C53*Assumptions!$B$4-B53,0))</f>
        <v/>
      </c>
    </row>
    <row r="54">
      <c r="A54" t="inlineStr">
        <is>
          <t>S003-P0013</t>
        </is>
      </c>
      <c r="B54" t="n">
        <v>388</v>
      </c>
      <c r="C54" t="n">
        <v>123.43</v>
      </c>
      <c r="D54" t="n">
        <v>102.66</v>
      </c>
      <c r="E54">
        <f>IF(C54&gt;0,B54/C54,999)</f>
        <v/>
      </c>
      <c r="F54">
        <f>Assumptions!$B$3*D54*SQRT(Assumptions!$B$2)</f>
        <v/>
      </c>
      <c r="G54">
        <f>C54*Assumptions!$B$2+F54</f>
        <v/>
      </c>
      <c r="H54">
        <f>IF(E54&lt;Assumptions!$B$2,"High",IF(B54&lt;G54,"Medium","Low"))</f>
        <v/>
      </c>
      <c r="I54">
        <f>MAX(0,ROUNDUP(G54+C54*Assumptions!$B$4-B54,0))</f>
        <v/>
      </c>
    </row>
    <row r="55">
      <c r="A55" t="inlineStr">
        <is>
          <t>S003-P0014</t>
        </is>
      </c>
      <c r="B55" t="n">
        <v>230</v>
      </c>
      <c r="C55" t="n">
        <v>154.07</v>
      </c>
      <c r="D55" t="n">
        <v>119.3</v>
      </c>
      <c r="E55">
        <f>IF(C55&gt;0,B55/C55,999)</f>
        <v/>
      </c>
      <c r="F55">
        <f>Assumptions!$B$3*D55*SQRT(Assumptions!$B$2)</f>
        <v/>
      </c>
      <c r="G55">
        <f>C55*Assumptions!$B$2+F55</f>
        <v/>
      </c>
      <c r="H55">
        <f>IF(E55&lt;Assumptions!$B$2,"High",IF(B55&lt;G55,"Medium","Low"))</f>
        <v/>
      </c>
      <c r="I55">
        <f>MAX(0,ROUNDUP(G55+C55*Assumptions!$B$4-B55,0))</f>
        <v/>
      </c>
    </row>
    <row r="56">
      <c r="A56" t="inlineStr">
        <is>
          <t>S003-P0015</t>
        </is>
      </c>
      <c r="B56" t="n">
        <v>270</v>
      </c>
      <c r="C56" t="n">
        <v>136.5</v>
      </c>
      <c r="D56" t="n">
        <v>109.27</v>
      </c>
      <c r="E56">
        <f>IF(C56&gt;0,B56/C56,999)</f>
        <v/>
      </c>
      <c r="F56">
        <f>Assumptions!$B$3*D56*SQRT(Assumptions!$B$2)</f>
        <v/>
      </c>
      <c r="G56">
        <f>C56*Assumptions!$B$2+F56</f>
        <v/>
      </c>
      <c r="H56">
        <f>IF(E56&lt;Assumptions!$B$2,"High",IF(B56&lt;G56,"Medium","Low"))</f>
        <v/>
      </c>
      <c r="I56">
        <f>MAX(0,ROUNDUP(G56+C56*Assumptions!$B$4-B56,0))</f>
        <v/>
      </c>
    </row>
    <row r="57">
      <c r="A57" t="inlineStr">
        <is>
          <t>S003-P0016</t>
        </is>
      </c>
      <c r="B57" t="n">
        <v>166</v>
      </c>
      <c r="C57" t="n">
        <v>124.93</v>
      </c>
      <c r="D57" t="n">
        <v>107.05</v>
      </c>
      <c r="E57">
        <f>IF(C57&gt;0,B57/C57,999)</f>
        <v/>
      </c>
      <c r="F57">
        <f>Assumptions!$B$3*D57*SQRT(Assumptions!$B$2)</f>
        <v/>
      </c>
      <c r="G57">
        <f>C57*Assumptions!$B$2+F57</f>
        <v/>
      </c>
      <c r="H57">
        <f>IF(E57&lt;Assumptions!$B$2,"High",IF(B57&lt;G57,"Medium","Low"))</f>
        <v/>
      </c>
      <c r="I57">
        <f>MAX(0,ROUNDUP(G57+C57*Assumptions!$B$4-B57,0))</f>
        <v/>
      </c>
    </row>
    <row r="58">
      <c r="A58" t="inlineStr">
        <is>
          <t>S003-P0017</t>
        </is>
      </c>
      <c r="B58" t="n">
        <v>239</v>
      </c>
      <c r="C58" t="n">
        <v>120.79</v>
      </c>
      <c r="D58" t="n">
        <v>115.48</v>
      </c>
      <c r="E58">
        <f>IF(C58&gt;0,B58/C58,999)</f>
        <v/>
      </c>
      <c r="F58">
        <f>Assumptions!$B$3*D58*SQRT(Assumptions!$B$2)</f>
        <v/>
      </c>
      <c r="G58">
        <f>C58*Assumptions!$B$2+F58</f>
        <v/>
      </c>
      <c r="H58">
        <f>IF(E58&lt;Assumptions!$B$2,"High",IF(B58&lt;G58,"Medium","Low"))</f>
        <v/>
      </c>
      <c r="I58">
        <f>MAX(0,ROUNDUP(G58+C58*Assumptions!$B$4-B58,0))</f>
        <v/>
      </c>
    </row>
    <row r="59">
      <c r="A59" t="inlineStr">
        <is>
          <t>S003-P0018</t>
        </is>
      </c>
      <c r="B59" t="n">
        <v>375</v>
      </c>
      <c r="C59" t="n">
        <v>142.71</v>
      </c>
      <c r="D59" t="n">
        <v>106.92</v>
      </c>
      <c r="E59">
        <f>IF(C59&gt;0,B59/C59,999)</f>
        <v/>
      </c>
      <c r="F59">
        <f>Assumptions!$B$3*D59*SQRT(Assumptions!$B$2)</f>
        <v/>
      </c>
      <c r="G59">
        <f>C59*Assumptions!$B$2+F59</f>
        <v/>
      </c>
      <c r="H59">
        <f>IF(E59&lt;Assumptions!$B$2,"High",IF(B59&lt;G59,"Medium","Low"))</f>
        <v/>
      </c>
      <c r="I59">
        <f>MAX(0,ROUNDUP(G59+C59*Assumptions!$B$4-B59,0))</f>
        <v/>
      </c>
    </row>
    <row r="60">
      <c r="A60" t="inlineStr">
        <is>
          <t>S003-P0019</t>
        </is>
      </c>
      <c r="B60" t="n">
        <v>253</v>
      </c>
      <c r="C60" t="n">
        <v>154.21</v>
      </c>
      <c r="D60" t="n">
        <v>120.72</v>
      </c>
      <c r="E60">
        <f>IF(C60&gt;0,B60/C60,999)</f>
        <v/>
      </c>
      <c r="F60">
        <f>Assumptions!$B$3*D60*SQRT(Assumptions!$B$2)</f>
        <v/>
      </c>
      <c r="G60">
        <f>C60*Assumptions!$B$2+F60</f>
        <v/>
      </c>
      <c r="H60">
        <f>IF(E60&lt;Assumptions!$B$2,"High",IF(B60&lt;G60,"Medium","Low"))</f>
        <v/>
      </c>
      <c r="I60">
        <f>MAX(0,ROUNDUP(G60+C60*Assumptions!$B$4-B60,0))</f>
        <v/>
      </c>
    </row>
    <row r="61">
      <c r="A61" t="inlineStr">
        <is>
          <t>S003-P0020</t>
        </is>
      </c>
      <c r="B61" t="n">
        <v>417</v>
      </c>
      <c r="C61" t="n">
        <v>142.71</v>
      </c>
      <c r="D61" t="n">
        <v>102.52</v>
      </c>
      <c r="E61">
        <f>IF(C61&gt;0,B61/C61,999)</f>
        <v/>
      </c>
      <c r="F61">
        <f>Assumptions!$B$3*D61*SQRT(Assumptions!$B$2)</f>
        <v/>
      </c>
      <c r="G61">
        <f>C61*Assumptions!$B$2+F61</f>
        <v/>
      </c>
      <c r="H61">
        <f>IF(E61&lt;Assumptions!$B$2,"High",IF(B61&lt;G61,"Medium","Low"))</f>
        <v/>
      </c>
      <c r="I61">
        <f>MAX(0,ROUNDUP(G61+C61*Assumptions!$B$4-B61,0))</f>
        <v/>
      </c>
    </row>
    <row r="62">
      <c r="A62" t="inlineStr">
        <is>
          <t>S004-P0001</t>
        </is>
      </c>
      <c r="B62" t="n">
        <v>497</v>
      </c>
      <c r="C62" t="n">
        <v>137.57</v>
      </c>
      <c r="D62" t="n">
        <v>111.73</v>
      </c>
      <c r="E62">
        <f>IF(C62&gt;0,B62/C62,999)</f>
        <v/>
      </c>
      <c r="F62">
        <f>Assumptions!$B$3*D62*SQRT(Assumptions!$B$2)</f>
        <v/>
      </c>
      <c r="G62">
        <f>C62*Assumptions!$B$2+F62</f>
        <v/>
      </c>
      <c r="H62">
        <f>IF(E62&lt;Assumptions!$B$2,"High",IF(B62&lt;G62,"Medium","Low"))</f>
        <v/>
      </c>
      <c r="I62">
        <f>MAX(0,ROUNDUP(G62+C62*Assumptions!$B$4-B62,0))</f>
        <v/>
      </c>
    </row>
    <row r="63">
      <c r="A63" t="inlineStr">
        <is>
          <t>S004-P0002</t>
        </is>
      </c>
      <c r="B63" t="n">
        <v>181</v>
      </c>
      <c r="C63" t="n">
        <v>152.71</v>
      </c>
      <c r="D63" t="n">
        <v>98.51000000000001</v>
      </c>
      <c r="E63">
        <f>IF(C63&gt;0,B63/C63,999)</f>
        <v/>
      </c>
      <c r="F63">
        <f>Assumptions!$B$3*D63*SQRT(Assumptions!$B$2)</f>
        <v/>
      </c>
      <c r="G63">
        <f>C63*Assumptions!$B$2+F63</f>
        <v/>
      </c>
      <c r="H63">
        <f>IF(E63&lt;Assumptions!$B$2,"High",IF(B63&lt;G63,"Medium","Low"))</f>
        <v/>
      </c>
      <c r="I63">
        <f>MAX(0,ROUNDUP(G63+C63*Assumptions!$B$4-B63,0))</f>
        <v/>
      </c>
    </row>
    <row r="64">
      <c r="A64" t="inlineStr">
        <is>
          <t>S004-P0003</t>
        </is>
      </c>
      <c r="B64" t="n">
        <v>419</v>
      </c>
      <c r="C64" t="n">
        <v>144</v>
      </c>
      <c r="D64" t="n">
        <v>113.15</v>
      </c>
      <c r="E64">
        <f>IF(C64&gt;0,B64/C64,999)</f>
        <v/>
      </c>
      <c r="F64">
        <f>Assumptions!$B$3*D64*SQRT(Assumptions!$B$2)</f>
        <v/>
      </c>
      <c r="G64">
        <f>C64*Assumptions!$B$2+F64</f>
        <v/>
      </c>
      <c r="H64">
        <f>IF(E64&lt;Assumptions!$B$2,"High",IF(B64&lt;G64,"Medium","Low"))</f>
        <v/>
      </c>
      <c r="I64">
        <f>MAX(0,ROUNDUP(G64+C64*Assumptions!$B$4-B64,0))</f>
        <v/>
      </c>
    </row>
    <row r="65">
      <c r="A65" t="inlineStr">
        <is>
          <t>S004-P0004</t>
        </is>
      </c>
      <c r="B65" t="n">
        <v>105</v>
      </c>
      <c r="C65" t="n">
        <v>94.86</v>
      </c>
      <c r="D65" t="n">
        <v>110.42</v>
      </c>
      <c r="E65">
        <f>IF(C65&gt;0,B65/C65,999)</f>
        <v/>
      </c>
      <c r="F65">
        <f>Assumptions!$B$3*D65*SQRT(Assumptions!$B$2)</f>
        <v/>
      </c>
      <c r="G65">
        <f>C65*Assumptions!$B$2+F65</f>
        <v/>
      </c>
      <c r="H65">
        <f>IF(E65&lt;Assumptions!$B$2,"High",IF(B65&lt;G65,"Medium","Low"))</f>
        <v/>
      </c>
      <c r="I65">
        <f>MAX(0,ROUNDUP(G65+C65*Assumptions!$B$4-B65,0))</f>
        <v/>
      </c>
    </row>
    <row r="66">
      <c r="A66" t="inlineStr">
        <is>
          <t>S004-P0005</t>
        </is>
      </c>
      <c r="B66" t="n">
        <v>217</v>
      </c>
      <c r="C66" t="n">
        <v>130.04</v>
      </c>
      <c r="D66" t="n">
        <v>92.66</v>
      </c>
      <c r="E66">
        <f>IF(C66&gt;0,B66/C66,999)</f>
        <v/>
      </c>
      <c r="F66">
        <f>Assumptions!$B$3*D66*SQRT(Assumptions!$B$2)</f>
        <v/>
      </c>
      <c r="G66">
        <f>C66*Assumptions!$B$2+F66</f>
        <v/>
      </c>
      <c r="H66">
        <f>IF(E66&lt;Assumptions!$B$2,"High",IF(B66&lt;G66,"Medium","Low"))</f>
        <v/>
      </c>
      <c r="I66">
        <f>MAX(0,ROUNDUP(G66+C66*Assumptions!$B$4-B66,0))</f>
        <v/>
      </c>
    </row>
    <row r="67">
      <c r="A67" t="inlineStr">
        <is>
          <t>S004-P0006</t>
        </is>
      </c>
      <c r="B67" t="n">
        <v>364</v>
      </c>
      <c r="C67" t="n">
        <v>180.71</v>
      </c>
      <c r="D67" t="n">
        <v>115.98</v>
      </c>
      <c r="E67">
        <f>IF(C67&gt;0,B67/C67,999)</f>
        <v/>
      </c>
      <c r="F67">
        <f>Assumptions!$B$3*D67*SQRT(Assumptions!$B$2)</f>
        <v/>
      </c>
      <c r="G67">
        <f>C67*Assumptions!$B$2+F67</f>
        <v/>
      </c>
      <c r="H67">
        <f>IF(E67&lt;Assumptions!$B$2,"High",IF(B67&lt;G67,"Medium","Low"))</f>
        <v/>
      </c>
      <c r="I67">
        <f>MAX(0,ROUNDUP(G67+C67*Assumptions!$B$4-B67,0))</f>
        <v/>
      </c>
    </row>
    <row r="68">
      <c r="A68" t="inlineStr">
        <is>
          <t>S004-P0007</t>
        </is>
      </c>
      <c r="B68" t="n">
        <v>134</v>
      </c>
      <c r="C68" t="n">
        <v>127.89</v>
      </c>
      <c r="D68" t="n">
        <v>100.79</v>
      </c>
      <c r="E68">
        <f>IF(C68&gt;0,B68/C68,999)</f>
        <v/>
      </c>
      <c r="F68">
        <f>Assumptions!$B$3*D68*SQRT(Assumptions!$B$2)</f>
        <v/>
      </c>
      <c r="G68">
        <f>C68*Assumptions!$B$2+F68</f>
        <v/>
      </c>
      <c r="H68">
        <f>IF(E68&lt;Assumptions!$B$2,"High",IF(B68&lt;G68,"Medium","Low"))</f>
        <v/>
      </c>
      <c r="I68">
        <f>MAX(0,ROUNDUP(G68+C68*Assumptions!$B$4-B68,0))</f>
        <v/>
      </c>
    </row>
    <row r="69">
      <c r="A69" t="inlineStr">
        <is>
          <t>S004-P0008</t>
        </is>
      </c>
      <c r="B69" t="n">
        <v>390</v>
      </c>
      <c r="C69" t="n">
        <v>174.14</v>
      </c>
      <c r="D69" t="n">
        <v>107.52</v>
      </c>
      <c r="E69">
        <f>IF(C69&gt;0,B69/C69,999)</f>
        <v/>
      </c>
      <c r="F69">
        <f>Assumptions!$B$3*D69*SQRT(Assumptions!$B$2)</f>
        <v/>
      </c>
      <c r="G69">
        <f>C69*Assumptions!$B$2+F69</f>
        <v/>
      </c>
      <c r="H69">
        <f>IF(E69&lt;Assumptions!$B$2,"High",IF(B69&lt;G69,"Medium","Low"))</f>
        <v/>
      </c>
      <c r="I69">
        <f>MAX(0,ROUNDUP(G69+C69*Assumptions!$B$4-B69,0))</f>
        <v/>
      </c>
    </row>
    <row r="70">
      <c r="A70" t="inlineStr">
        <is>
          <t>S004-P0009</t>
        </is>
      </c>
      <c r="B70" t="n">
        <v>115</v>
      </c>
      <c r="C70" t="n">
        <v>127.86</v>
      </c>
      <c r="D70" t="n">
        <v>122</v>
      </c>
      <c r="E70">
        <f>IF(C70&gt;0,B70/C70,999)</f>
        <v/>
      </c>
      <c r="F70">
        <f>Assumptions!$B$3*D70*SQRT(Assumptions!$B$2)</f>
        <v/>
      </c>
      <c r="G70">
        <f>C70*Assumptions!$B$2+F70</f>
        <v/>
      </c>
      <c r="H70">
        <f>IF(E70&lt;Assumptions!$B$2,"High",IF(B70&lt;G70,"Medium","Low"))</f>
        <v/>
      </c>
      <c r="I70">
        <f>MAX(0,ROUNDUP(G70+C70*Assumptions!$B$4-B70,0))</f>
        <v/>
      </c>
    </row>
    <row r="71">
      <c r="A71" t="inlineStr">
        <is>
          <t>S004-P0010</t>
        </is>
      </c>
      <c r="B71" t="n">
        <v>382</v>
      </c>
      <c r="C71" t="n">
        <v>135.93</v>
      </c>
      <c r="D71" t="n">
        <v>95.95999999999999</v>
      </c>
      <c r="E71">
        <f>IF(C71&gt;0,B71/C71,999)</f>
        <v/>
      </c>
      <c r="F71">
        <f>Assumptions!$B$3*D71*SQRT(Assumptions!$B$2)</f>
        <v/>
      </c>
      <c r="G71">
        <f>C71*Assumptions!$B$2+F71</f>
        <v/>
      </c>
      <c r="H71">
        <f>IF(E71&lt;Assumptions!$B$2,"High",IF(B71&lt;G71,"Medium","Low"))</f>
        <v/>
      </c>
      <c r="I71">
        <f>MAX(0,ROUNDUP(G71+C71*Assumptions!$B$4-B71,0))</f>
        <v/>
      </c>
    </row>
    <row r="72">
      <c r="A72" t="inlineStr">
        <is>
          <t>S004-P0011</t>
        </is>
      </c>
      <c r="B72" t="n">
        <v>155</v>
      </c>
      <c r="C72" t="n">
        <v>139.39</v>
      </c>
      <c r="D72" t="n">
        <v>119.91</v>
      </c>
      <c r="E72">
        <f>IF(C72&gt;0,B72/C72,999)</f>
        <v/>
      </c>
      <c r="F72">
        <f>Assumptions!$B$3*D72*SQRT(Assumptions!$B$2)</f>
        <v/>
      </c>
      <c r="G72">
        <f>C72*Assumptions!$B$2+F72</f>
        <v/>
      </c>
      <c r="H72">
        <f>IF(E72&lt;Assumptions!$B$2,"High",IF(B72&lt;G72,"Medium","Low"))</f>
        <v/>
      </c>
      <c r="I72">
        <f>MAX(0,ROUNDUP(G72+C72*Assumptions!$B$4-B72,0))</f>
        <v/>
      </c>
    </row>
    <row r="73">
      <c r="A73" t="inlineStr">
        <is>
          <t>S004-P0012</t>
        </is>
      </c>
      <c r="B73" t="n">
        <v>85</v>
      </c>
      <c r="C73" t="n">
        <v>113.64</v>
      </c>
      <c r="D73" t="n">
        <v>92.40000000000001</v>
      </c>
      <c r="E73">
        <f>IF(C73&gt;0,B73/C73,999)</f>
        <v/>
      </c>
      <c r="F73">
        <f>Assumptions!$B$3*D73*SQRT(Assumptions!$B$2)</f>
        <v/>
      </c>
      <c r="G73">
        <f>C73*Assumptions!$B$2+F73</f>
        <v/>
      </c>
      <c r="H73">
        <f>IF(E73&lt;Assumptions!$B$2,"High",IF(B73&lt;G73,"Medium","Low"))</f>
        <v/>
      </c>
      <c r="I73">
        <f>MAX(0,ROUNDUP(G73+C73*Assumptions!$B$4-B73,0))</f>
        <v/>
      </c>
    </row>
    <row r="74">
      <c r="A74" t="inlineStr">
        <is>
          <t>S004-P0013</t>
        </is>
      </c>
      <c r="B74" t="n">
        <v>113</v>
      </c>
      <c r="C74" t="n">
        <v>112.04</v>
      </c>
      <c r="D74" t="n">
        <v>105.82</v>
      </c>
      <c r="E74">
        <f>IF(C74&gt;0,B74/C74,999)</f>
        <v/>
      </c>
      <c r="F74">
        <f>Assumptions!$B$3*D74*SQRT(Assumptions!$B$2)</f>
        <v/>
      </c>
      <c r="G74">
        <f>C74*Assumptions!$B$2+F74</f>
        <v/>
      </c>
      <c r="H74">
        <f>IF(E74&lt;Assumptions!$B$2,"High",IF(B74&lt;G74,"Medium","Low"))</f>
        <v/>
      </c>
      <c r="I74">
        <f>MAX(0,ROUNDUP(G74+C74*Assumptions!$B$4-B74,0))</f>
        <v/>
      </c>
    </row>
    <row r="75">
      <c r="A75" t="inlineStr">
        <is>
          <t>S004-P0014</t>
        </is>
      </c>
      <c r="B75" t="n">
        <v>386</v>
      </c>
      <c r="C75" t="n">
        <v>122.79</v>
      </c>
      <c r="D75" t="n">
        <v>103.47</v>
      </c>
      <c r="E75">
        <f>IF(C75&gt;0,B75/C75,999)</f>
        <v/>
      </c>
      <c r="F75">
        <f>Assumptions!$B$3*D75*SQRT(Assumptions!$B$2)</f>
        <v/>
      </c>
      <c r="G75">
        <f>C75*Assumptions!$B$2+F75</f>
        <v/>
      </c>
      <c r="H75">
        <f>IF(E75&lt;Assumptions!$B$2,"High",IF(B75&lt;G75,"Medium","Low"))</f>
        <v/>
      </c>
      <c r="I75">
        <f>MAX(0,ROUNDUP(G75+C75*Assumptions!$B$4-B75,0))</f>
        <v/>
      </c>
    </row>
    <row r="76">
      <c r="A76" t="inlineStr">
        <is>
          <t>S004-P0015</t>
        </is>
      </c>
      <c r="B76" t="n">
        <v>56</v>
      </c>
      <c r="C76" t="n">
        <v>73.43000000000001</v>
      </c>
      <c r="D76" t="n">
        <v>96.31999999999999</v>
      </c>
      <c r="E76">
        <f>IF(C76&gt;0,B76/C76,999)</f>
        <v/>
      </c>
      <c r="F76">
        <f>Assumptions!$B$3*D76*SQRT(Assumptions!$B$2)</f>
        <v/>
      </c>
      <c r="G76">
        <f>C76*Assumptions!$B$2+F76</f>
        <v/>
      </c>
      <c r="H76">
        <f>IF(E76&lt;Assumptions!$B$2,"High",IF(B76&lt;G76,"Medium","Low"))</f>
        <v/>
      </c>
      <c r="I76">
        <f>MAX(0,ROUNDUP(G76+C76*Assumptions!$B$4-B76,0))</f>
        <v/>
      </c>
    </row>
    <row r="77">
      <c r="A77" t="inlineStr">
        <is>
          <t>S004-P0016</t>
        </is>
      </c>
      <c r="B77" t="n">
        <v>314</v>
      </c>
      <c r="C77" t="n">
        <v>133.46</v>
      </c>
      <c r="D77" t="n">
        <v>96.36</v>
      </c>
      <c r="E77">
        <f>IF(C77&gt;0,B77/C77,999)</f>
        <v/>
      </c>
      <c r="F77">
        <f>Assumptions!$B$3*D77*SQRT(Assumptions!$B$2)</f>
        <v/>
      </c>
      <c r="G77">
        <f>C77*Assumptions!$B$2+F77</f>
        <v/>
      </c>
      <c r="H77">
        <f>IF(E77&lt;Assumptions!$B$2,"High",IF(B77&lt;G77,"Medium","Low"))</f>
        <v/>
      </c>
      <c r="I77">
        <f>MAX(0,ROUNDUP(G77+C77*Assumptions!$B$4-B77,0))</f>
        <v/>
      </c>
    </row>
    <row r="78">
      <c r="A78" t="inlineStr">
        <is>
          <t>S004-P0017</t>
        </is>
      </c>
      <c r="B78" t="n">
        <v>100</v>
      </c>
      <c r="C78" t="n">
        <v>137</v>
      </c>
      <c r="D78" t="n">
        <v>116.26</v>
      </c>
      <c r="E78">
        <f>IF(C78&gt;0,B78/C78,999)</f>
        <v/>
      </c>
      <c r="F78">
        <f>Assumptions!$B$3*D78*SQRT(Assumptions!$B$2)</f>
        <v/>
      </c>
      <c r="G78">
        <f>C78*Assumptions!$B$2+F78</f>
        <v/>
      </c>
      <c r="H78">
        <f>IF(E78&lt;Assumptions!$B$2,"High",IF(B78&lt;G78,"Medium","Low"))</f>
        <v/>
      </c>
      <c r="I78">
        <f>MAX(0,ROUNDUP(G78+C78*Assumptions!$B$4-B78,0))</f>
        <v/>
      </c>
    </row>
    <row r="79">
      <c r="A79" t="inlineStr">
        <is>
          <t>S004-P0018</t>
        </is>
      </c>
      <c r="B79" t="n">
        <v>83</v>
      </c>
      <c r="C79" t="n">
        <v>89.70999999999999</v>
      </c>
      <c r="D79" t="n">
        <v>106.77</v>
      </c>
      <c r="E79">
        <f>IF(C79&gt;0,B79/C79,999)</f>
        <v/>
      </c>
      <c r="F79">
        <f>Assumptions!$B$3*D79*SQRT(Assumptions!$B$2)</f>
        <v/>
      </c>
      <c r="G79">
        <f>C79*Assumptions!$B$2+F79</f>
        <v/>
      </c>
      <c r="H79">
        <f>IF(E79&lt;Assumptions!$B$2,"High",IF(B79&lt;G79,"Medium","Low"))</f>
        <v/>
      </c>
      <c r="I79">
        <f>MAX(0,ROUNDUP(G79+C79*Assumptions!$B$4-B79,0))</f>
        <v/>
      </c>
    </row>
    <row r="80">
      <c r="A80" t="inlineStr">
        <is>
          <t>S004-P0019</t>
        </is>
      </c>
      <c r="B80" t="n">
        <v>65</v>
      </c>
      <c r="C80" t="n">
        <v>91.5</v>
      </c>
      <c r="D80" t="n">
        <v>104.62</v>
      </c>
      <c r="E80">
        <f>IF(C80&gt;0,B80/C80,999)</f>
        <v/>
      </c>
      <c r="F80">
        <f>Assumptions!$B$3*D80*SQRT(Assumptions!$B$2)</f>
        <v/>
      </c>
      <c r="G80">
        <f>C80*Assumptions!$B$2+F80</f>
        <v/>
      </c>
      <c r="H80">
        <f>IF(E80&lt;Assumptions!$B$2,"High",IF(B80&lt;G80,"Medium","Low"))</f>
        <v/>
      </c>
      <c r="I80">
        <f>MAX(0,ROUNDUP(G80+C80*Assumptions!$B$4-B80,0))</f>
        <v/>
      </c>
    </row>
    <row r="81">
      <c r="A81" t="inlineStr">
        <is>
          <t>S004-P0020</t>
        </is>
      </c>
      <c r="B81" t="n">
        <v>249</v>
      </c>
      <c r="C81" t="n">
        <v>158.39</v>
      </c>
      <c r="D81" t="n">
        <v>113.82</v>
      </c>
      <c r="E81">
        <f>IF(C81&gt;0,B81/C81,999)</f>
        <v/>
      </c>
      <c r="F81">
        <f>Assumptions!$B$3*D81*SQRT(Assumptions!$B$2)</f>
        <v/>
      </c>
      <c r="G81">
        <f>C81*Assumptions!$B$2+F81</f>
        <v/>
      </c>
      <c r="H81">
        <f>IF(E81&lt;Assumptions!$B$2,"High",IF(B81&lt;G81,"Medium","Low"))</f>
        <v/>
      </c>
      <c r="I81">
        <f>MAX(0,ROUNDUP(G81+C81*Assumptions!$B$4-B81,0))</f>
        <v/>
      </c>
    </row>
    <row r="82">
      <c r="A82" t="inlineStr">
        <is>
          <t>S005-P0001</t>
        </is>
      </c>
      <c r="B82" t="n">
        <v>300</v>
      </c>
      <c r="C82" t="n">
        <v>118.86</v>
      </c>
      <c r="D82" t="n">
        <v>101.51</v>
      </c>
      <c r="E82">
        <f>IF(C82&gt;0,B82/C82,999)</f>
        <v/>
      </c>
      <c r="F82">
        <f>Assumptions!$B$3*D82*SQRT(Assumptions!$B$2)</f>
        <v/>
      </c>
      <c r="G82">
        <f>C82*Assumptions!$B$2+F82</f>
        <v/>
      </c>
      <c r="H82">
        <f>IF(E82&lt;Assumptions!$B$2,"High",IF(B82&lt;G82,"Medium","Low"))</f>
        <v/>
      </c>
      <c r="I82">
        <f>MAX(0,ROUNDUP(G82+C82*Assumptions!$B$4-B82,0))</f>
        <v/>
      </c>
    </row>
    <row r="83">
      <c r="A83" t="inlineStr">
        <is>
          <t>S005-P0002</t>
        </is>
      </c>
      <c r="B83" t="n">
        <v>253</v>
      </c>
      <c r="C83" t="n">
        <v>185.5</v>
      </c>
      <c r="D83" t="n">
        <v>99.09999999999999</v>
      </c>
      <c r="E83">
        <f>IF(C83&gt;0,B83/C83,999)</f>
        <v/>
      </c>
      <c r="F83">
        <f>Assumptions!$B$3*D83*SQRT(Assumptions!$B$2)</f>
        <v/>
      </c>
      <c r="G83">
        <f>C83*Assumptions!$B$2+F83</f>
        <v/>
      </c>
      <c r="H83">
        <f>IF(E83&lt;Assumptions!$B$2,"High",IF(B83&lt;G83,"Medium","Low"))</f>
        <v/>
      </c>
      <c r="I83">
        <f>MAX(0,ROUNDUP(G83+C83*Assumptions!$B$4-B83,0))</f>
        <v/>
      </c>
    </row>
    <row r="84">
      <c r="A84" t="inlineStr">
        <is>
          <t>S005-P0003</t>
        </is>
      </c>
      <c r="B84" t="n">
        <v>98</v>
      </c>
      <c r="C84" t="n">
        <v>148.82</v>
      </c>
      <c r="D84" t="n">
        <v>121.83</v>
      </c>
      <c r="E84">
        <f>IF(C84&gt;0,B84/C84,999)</f>
        <v/>
      </c>
      <c r="F84">
        <f>Assumptions!$B$3*D84*SQRT(Assumptions!$B$2)</f>
        <v/>
      </c>
      <c r="G84">
        <f>C84*Assumptions!$B$2+F84</f>
        <v/>
      </c>
      <c r="H84">
        <f>IF(E84&lt;Assumptions!$B$2,"High",IF(B84&lt;G84,"Medium","Low"))</f>
        <v/>
      </c>
      <c r="I84">
        <f>MAX(0,ROUNDUP(G84+C84*Assumptions!$B$4-B84,0))</f>
        <v/>
      </c>
    </row>
    <row r="85">
      <c r="A85" t="inlineStr">
        <is>
          <t>S005-P0004</t>
        </is>
      </c>
      <c r="B85" t="n">
        <v>158</v>
      </c>
      <c r="C85" t="n">
        <v>141.89</v>
      </c>
      <c r="D85" t="n">
        <v>123.69</v>
      </c>
      <c r="E85">
        <f>IF(C85&gt;0,B85/C85,999)</f>
        <v/>
      </c>
      <c r="F85">
        <f>Assumptions!$B$3*D85*SQRT(Assumptions!$B$2)</f>
        <v/>
      </c>
      <c r="G85">
        <f>C85*Assumptions!$B$2+F85</f>
        <v/>
      </c>
      <c r="H85">
        <f>IF(E85&lt;Assumptions!$B$2,"High",IF(B85&lt;G85,"Medium","Low"))</f>
        <v/>
      </c>
      <c r="I85">
        <f>MAX(0,ROUNDUP(G85+C85*Assumptions!$B$4-B85,0))</f>
        <v/>
      </c>
    </row>
    <row r="86">
      <c r="A86" t="inlineStr">
        <is>
          <t>S005-P0005</t>
        </is>
      </c>
      <c r="B86" t="n">
        <v>372</v>
      </c>
      <c r="C86" t="n">
        <v>147.43</v>
      </c>
      <c r="D86" t="n">
        <v>109.42</v>
      </c>
      <c r="E86">
        <f>IF(C86&gt;0,B86/C86,999)</f>
        <v/>
      </c>
      <c r="F86">
        <f>Assumptions!$B$3*D86*SQRT(Assumptions!$B$2)</f>
        <v/>
      </c>
      <c r="G86">
        <f>C86*Assumptions!$B$2+F86</f>
        <v/>
      </c>
      <c r="H86">
        <f>IF(E86&lt;Assumptions!$B$2,"High",IF(B86&lt;G86,"Medium","Low"))</f>
        <v/>
      </c>
      <c r="I86">
        <f>MAX(0,ROUNDUP(G86+C86*Assumptions!$B$4-B86,0))</f>
        <v/>
      </c>
    </row>
    <row r="87">
      <c r="A87" t="inlineStr">
        <is>
          <t>S005-P0006</t>
        </is>
      </c>
      <c r="B87" t="n">
        <v>491</v>
      </c>
      <c r="C87" t="n">
        <v>164.07</v>
      </c>
      <c r="D87" t="n">
        <v>110.29</v>
      </c>
      <c r="E87">
        <f>IF(C87&gt;0,B87/C87,999)</f>
        <v/>
      </c>
      <c r="F87">
        <f>Assumptions!$B$3*D87*SQRT(Assumptions!$B$2)</f>
        <v/>
      </c>
      <c r="G87">
        <f>C87*Assumptions!$B$2+F87</f>
        <v/>
      </c>
      <c r="H87">
        <f>IF(E87&lt;Assumptions!$B$2,"High",IF(B87&lt;G87,"Medium","Low"))</f>
        <v/>
      </c>
      <c r="I87">
        <f>MAX(0,ROUNDUP(G87+C87*Assumptions!$B$4-B87,0))</f>
        <v/>
      </c>
    </row>
    <row r="88">
      <c r="A88" t="inlineStr">
        <is>
          <t>S005-P0007</t>
        </is>
      </c>
      <c r="B88" t="n">
        <v>59</v>
      </c>
      <c r="C88" t="n">
        <v>115.71</v>
      </c>
      <c r="D88" t="n">
        <v>106.44</v>
      </c>
      <c r="E88">
        <f>IF(C88&gt;0,B88/C88,999)</f>
        <v/>
      </c>
      <c r="F88">
        <f>Assumptions!$B$3*D88*SQRT(Assumptions!$B$2)</f>
        <v/>
      </c>
      <c r="G88">
        <f>C88*Assumptions!$B$2+F88</f>
        <v/>
      </c>
      <c r="H88">
        <f>IF(E88&lt;Assumptions!$B$2,"High",IF(B88&lt;G88,"Medium","Low"))</f>
        <v/>
      </c>
      <c r="I88">
        <f>MAX(0,ROUNDUP(G88+C88*Assumptions!$B$4-B88,0))</f>
        <v/>
      </c>
    </row>
    <row r="89">
      <c r="A89" t="inlineStr">
        <is>
          <t>S005-P0008</t>
        </is>
      </c>
      <c r="B89" t="n">
        <v>409</v>
      </c>
      <c r="C89" t="n">
        <v>165</v>
      </c>
      <c r="D89" t="n">
        <v>112.48</v>
      </c>
      <c r="E89">
        <f>IF(C89&gt;0,B89/C89,999)</f>
        <v/>
      </c>
      <c r="F89">
        <f>Assumptions!$B$3*D89*SQRT(Assumptions!$B$2)</f>
        <v/>
      </c>
      <c r="G89">
        <f>C89*Assumptions!$B$2+F89</f>
        <v/>
      </c>
      <c r="H89">
        <f>IF(E89&lt;Assumptions!$B$2,"High",IF(B89&lt;G89,"Medium","Low"))</f>
        <v/>
      </c>
      <c r="I89">
        <f>MAX(0,ROUNDUP(G89+C89*Assumptions!$B$4-B89,0))</f>
        <v/>
      </c>
    </row>
    <row r="90">
      <c r="A90" t="inlineStr">
        <is>
          <t>S005-P0009</t>
        </is>
      </c>
      <c r="B90" t="n">
        <v>319</v>
      </c>
      <c r="C90" t="n">
        <v>117.86</v>
      </c>
      <c r="D90" t="n">
        <v>105.69</v>
      </c>
      <c r="E90">
        <f>IF(C90&gt;0,B90/C90,999)</f>
        <v/>
      </c>
      <c r="F90">
        <f>Assumptions!$B$3*D90*SQRT(Assumptions!$B$2)</f>
        <v/>
      </c>
      <c r="G90">
        <f>C90*Assumptions!$B$2+F90</f>
        <v/>
      </c>
      <c r="H90">
        <f>IF(E90&lt;Assumptions!$B$2,"High",IF(B90&lt;G90,"Medium","Low"))</f>
        <v/>
      </c>
      <c r="I90">
        <f>MAX(0,ROUNDUP(G90+C90*Assumptions!$B$4-B90,0))</f>
        <v/>
      </c>
    </row>
    <row r="91">
      <c r="A91" t="inlineStr">
        <is>
          <t>S005-P0010</t>
        </is>
      </c>
      <c r="B91" t="n">
        <v>308</v>
      </c>
      <c r="C91" t="n">
        <v>112.43</v>
      </c>
      <c r="D91" t="n">
        <v>104.56</v>
      </c>
      <c r="E91">
        <f>IF(C91&gt;0,B91/C91,999)</f>
        <v/>
      </c>
      <c r="F91">
        <f>Assumptions!$B$3*D91*SQRT(Assumptions!$B$2)</f>
        <v/>
      </c>
      <c r="G91">
        <f>C91*Assumptions!$B$2+F91</f>
        <v/>
      </c>
      <c r="H91">
        <f>IF(E91&lt;Assumptions!$B$2,"High",IF(B91&lt;G91,"Medium","Low"))</f>
        <v/>
      </c>
      <c r="I91">
        <f>MAX(0,ROUNDUP(G91+C91*Assumptions!$B$4-B91,0))</f>
        <v/>
      </c>
    </row>
    <row r="92">
      <c r="A92" t="inlineStr">
        <is>
          <t>S005-P0011</t>
        </is>
      </c>
      <c r="B92" t="n">
        <v>156</v>
      </c>
      <c r="C92" t="n">
        <v>101.86</v>
      </c>
      <c r="D92" t="n">
        <v>109.82</v>
      </c>
      <c r="E92">
        <f>IF(C92&gt;0,B92/C92,999)</f>
        <v/>
      </c>
      <c r="F92">
        <f>Assumptions!$B$3*D92*SQRT(Assumptions!$B$2)</f>
        <v/>
      </c>
      <c r="G92">
        <f>C92*Assumptions!$B$2+F92</f>
        <v/>
      </c>
      <c r="H92">
        <f>IF(E92&lt;Assumptions!$B$2,"High",IF(B92&lt;G92,"Medium","Low"))</f>
        <v/>
      </c>
      <c r="I92">
        <f>MAX(0,ROUNDUP(G92+C92*Assumptions!$B$4-B92,0))</f>
        <v/>
      </c>
    </row>
    <row r="93">
      <c r="A93" t="inlineStr">
        <is>
          <t>S005-P0012</t>
        </is>
      </c>
      <c r="B93" t="n">
        <v>495</v>
      </c>
      <c r="C93" t="n">
        <v>132.25</v>
      </c>
      <c r="D93" t="n">
        <v>113.7</v>
      </c>
      <c r="E93">
        <f>IF(C93&gt;0,B93/C93,999)</f>
        <v/>
      </c>
      <c r="F93">
        <f>Assumptions!$B$3*D93*SQRT(Assumptions!$B$2)</f>
        <v/>
      </c>
      <c r="G93">
        <f>C93*Assumptions!$B$2+F93</f>
        <v/>
      </c>
      <c r="H93">
        <f>IF(E93&lt;Assumptions!$B$2,"High",IF(B93&lt;G93,"Medium","Low"))</f>
        <v/>
      </c>
      <c r="I93">
        <f>MAX(0,ROUNDUP(G93+C93*Assumptions!$B$4-B93,0))</f>
        <v/>
      </c>
    </row>
    <row r="94">
      <c r="A94" t="inlineStr">
        <is>
          <t>S005-P0013</t>
        </is>
      </c>
      <c r="B94" t="n">
        <v>389</v>
      </c>
      <c r="C94" t="n">
        <v>177.29</v>
      </c>
      <c r="D94" t="n">
        <v>107.08</v>
      </c>
      <c r="E94">
        <f>IF(C94&gt;0,B94/C94,999)</f>
        <v/>
      </c>
      <c r="F94">
        <f>Assumptions!$B$3*D94*SQRT(Assumptions!$B$2)</f>
        <v/>
      </c>
      <c r="G94">
        <f>C94*Assumptions!$B$2+F94</f>
        <v/>
      </c>
      <c r="H94">
        <f>IF(E94&lt;Assumptions!$B$2,"High",IF(B94&lt;G94,"Medium","Low"))</f>
        <v/>
      </c>
      <c r="I94">
        <f>MAX(0,ROUNDUP(G94+C94*Assumptions!$B$4-B94,0))</f>
        <v/>
      </c>
    </row>
    <row r="95">
      <c r="A95" t="inlineStr">
        <is>
          <t>S005-P0014</t>
        </is>
      </c>
      <c r="B95" t="n">
        <v>328</v>
      </c>
      <c r="C95" t="n">
        <v>149.64</v>
      </c>
      <c r="D95" t="n">
        <v>110.58</v>
      </c>
      <c r="E95">
        <f>IF(C95&gt;0,B95/C95,999)</f>
        <v/>
      </c>
      <c r="F95">
        <f>Assumptions!$B$3*D95*SQRT(Assumptions!$B$2)</f>
        <v/>
      </c>
      <c r="G95">
        <f>C95*Assumptions!$B$2+F95</f>
        <v/>
      </c>
      <c r="H95">
        <f>IF(E95&lt;Assumptions!$B$2,"High",IF(B95&lt;G95,"Medium","Low"))</f>
        <v/>
      </c>
      <c r="I95">
        <f>MAX(0,ROUNDUP(G95+C95*Assumptions!$B$4-B95,0))</f>
        <v/>
      </c>
    </row>
    <row r="96">
      <c r="A96" t="inlineStr">
        <is>
          <t>S005-P0015</t>
        </is>
      </c>
      <c r="B96" t="n">
        <v>408</v>
      </c>
      <c r="C96" t="n">
        <v>124.43</v>
      </c>
      <c r="D96" t="n">
        <v>106.81</v>
      </c>
      <c r="E96">
        <f>IF(C96&gt;0,B96/C96,999)</f>
        <v/>
      </c>
      <c r="F96">
        <f>Assumptions!$B$3*D96*SQRT(Assumptions!$B$2)</f>
        <v/>
      </c>
      <c r="G96">
        <f>C96*Assumptions!$B$2+F96</f>
        <v/>
      </c>
      <c r="H96">
        <f>IF(E96&lt;Assumptions!$B$2,"High",IF(B96&lt;G96,"Medium","Low"))</f>
        <v/>
      </c>
      <c r="I96">
        <f>MAX(0,ROUNDUP(G96+C96*Assumptions!$B$4-B96,0))</f>
        <v/>
      </c>
    </row>
    <row r="97">
      <c r="A97" t="inlineStr">
        <is>
          <t>S005-P0016</t>
        </is>
      </c>
      <c r="B97" t="n">
        <v>96</v>
      </c>
      <c r="C97" t="n">
        <v>82.56999999999999</v>
      </c>
      <c r="D97" t="n">
        <v>110.69</v>
      </c>
      <c r="E97">
        <f>IF(C97&gt;0,B97/C97,999)</f>
        <v/>
      </c>
      <c r="F97">
        <f>Assumptions!$B$3*D97*SQRT(Assumptions!$B$2)</f>
        <v/>
      </c>
      <c r="G97">
        <f>C97*Assumptions!$B$2+F97</f>
        <v/>
      </c>
      <c r="H97">
        <f>IF(E97&lt;Assumptions!$B$2,"High",IF(B97&lt;G97,"Medium","Low"))</f>
        <v/>
      </c>
      <c r="I97">
        <f>MAX(0,ROUNDUP(G97+C97*Assumptions!$B$4-B97,0))</f>
        <v/>
      </c>
    </row>
    <row r="98">
      <c r="A98" t="inlineStr">
        <is>
          <t>S005-P0017</t>
        </is>
      </c>
      <c r="B98" t="n">
        <v>313</v>
      </c>
      <c r="C98" t="n">
        <v>129.75</v>
      </c>
      <c r="D98" t="n">
        <v>106.59</v>
      </c>
      <c r="E98">
        <f>IF(C98&gt;0,B98/C98,999)</f>
        <v/>
      </c>
      <c r="F98">
        <f>Assumptions!$B$3*D98*SQRT(Assumptions!$B$2)</f>
        <v/>
      </c>
      <c r="G98">
        <f>C98*Assumptions!$B$2+F98</f>
        <v/>
      </c>
      <c r="H98">
        <f>IF(E98&lt;Assumptions!$B$2,"High",IF(B98&lt;G98,"Medium","Low"))</f>
        <v/>
      </c>
      <c r="I98">
        <f>MAX(0,ROUNDUP(G98+C98*Assumptions!$B$4-B98,0))</f>
        <v/>
      </c>
    </row>
    <row r="99">
      <c r="A99" t="inlineStr">
        <is>
          <t>S005-P0018</t>
        </is>
      </c>
      <c r="B99" t="n">
        <v>278</v>
      </c>
      <c r="C99" t="n">
        <v>104.57</v>
      </c>
      <c r="D99" t="n">
        <v>104.74</v>
      </c>
      <c r="E99">
        <f>IF(C99&gt;0,B99/C99,999)</f>
        <v/>
      </c>
      <c r="F99">
        <f>Assumptions!$B$3*D99*SQRT(Assumptions!$B$2)</f>
        <v/>
      </c>
      <c r="G99">
        <f>C99*Assumptions!$B$2+F99</f>
        <v/>
      </c>
      <c r="H99">
        <f>IF(E99&lt;Assumptions!$B$2,"High",IF(B99&lt;G99,"Medium","Low"))</f>
        <v/>
      </c>
      <c r="I99">
        <f>MAX(0,ROUNDUP(G99+C99*Assumptions!$B$4-B99,0))</f>
        <v/>
      </c>
    </row>
    <row r="100">
      <c r="A100" t="inlineStr">
        <is>
          <t>S005-P0019</t>
        </is>
      </c>
      <c r="B100" t="n">
        <v>374</v>
      </c>
      <c r="C100" t="n">
        <v>138.82</v>
      </c>
      <c r="D100" t="n">
        <v>111.98</v>
      </c>
      <c r="E100">
        <f>IF(C100&gt;0,B100/C100,999)</f>
        <v/>
      </c>
      <c r="F100">
        <f>Assumptions!$B$3*D100*SQRT(Assumptions!$B$2)</f>
        <v/>
      </c>
      <c r="G100">
        <f>C100*Assumptions!$B$2+F100</f>
        <v/>
      </c>
      <c r="H100">
        <f>IF(E100&lt;Assumptions!$B$2,"High",IF(B100&lt;G100,"Medium","Low"))</f>
        <v/>
      </c>
      <c r="I100">
        <f>MAX(0,ROUNDUP(G100+C100*Assumptions!$B$4-B100,0))</f>
        <v/>
      </c>
    </row>
    <row r="101">
      <c r="A101" t="inlineStr">
        <is>
          <t>S005-P0020</t>
        </is>
      </c>
      <c r="B101" t="n">
        <v>117</v>
      </c>
      <c r="C101" t="n">
        <v>132.39</v>
      </c>
      <c r="D101" t="n">
        <v>125.89</v>
      </c>
      <c r="E101">
        <f>IF(C101&gt;0,B101/C101,999)</f>
        <v/>
      </c>
      <c r="F101">
        <f>Assumptions!$B$3*D101*SQRT(Assumptions!$B$2)</f>
        <v/>
      </c>
      <c r="G101">
        <f>C101*Assumptions!$B$2+F101</f>
        <v/>
      </c>
      <c r="H101">
        <f>IF(E101&lt;Assumptions!$B$2,"High",IF(B101&lt;G101,"Medium","Low"))</f>
        <v/>
      </c>
      <c r="I101">
        <f>MAX(0,ROUNDUP(G101+C101*Assumptions!$B$4-B101,0))</f>
        <v/>
      </c>
    </row>
  </sheetData>
  <conditionalFormatting sqref="H2:H10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2026-10-15T19:34:35Z</dcterms:created>
  <dcterms:modified xsi:type="dcterms:W3CDTF">2026-10-15T19:34:35Z</dcterms:modified>
</cp:coreProperties>
</file>